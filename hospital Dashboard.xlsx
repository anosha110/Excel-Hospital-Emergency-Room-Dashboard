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MLS\Documents\"/>
    </mc:Choice>
  </mc:AlternateContent>
  <xr:revisionPtr revIDLastSave="0" documentId="13_ncr:1_{0C1CE762-FB96-4090-8AF5-F42DD3062CC6}" xr6:coauthVersionLast="47" xr6:coauthVersionMax="47" xr10:uidLastSave="{00000000-0000-0000-0000-000000000000}"/>
  <bookViews>
    <workbookView xWindow="-110" yWindow="-110" windowWidth="19420" windowHeight="10420" activeTab="1" xr2:uid="{1E1AA9BC-436A-4FBB-825A-8B30526A4754}"/>
  </bookViews>
  <sheets>
    <sheet name="Pivot Report" sheetId="2" r:id="rId1"/>
    <sheet name="Dashboard" sheetId="1" r:id="rId2"/>
    <sheet name="Average Wait Time" sheetId="4" r:id="rId3"/>
    <sheet name="Daily visits" sheetId="3" r:id="rId4"/>
    <sheet name="Satisfaction Score" sheetId="5" r:id="rId5"/>
  </sheets>
  <definedNames>
    <definedName name="Slicer_Date__Month">#N/A</definedName>
    <definedName name="Slicer_Date__Year">#N/A</definedName>
  </definedNames>
  <calcPr calcId="191029"/>
  <pivotCaches>
    <pivotCache cacheId="990" r:id="rId6"/>
    <pivotCache cacheId="993" r:id="rId7"/>
    <pivotCache cacheId="996" r:id="rId8"/>
    <pivotCache cacheId="999" r:id="rId9"/>
    <pivotCache cacheId="1002" r:id="rId10"/>
    <pivotCache cacheId="1005" r:id="rId11"/>
    <pivotCache cacheId="1008" r:id="rId12"/>
    <pivotCache cacheId="1011" r:id="rId13"/>
    <pivotCache cacheId="1014" r:id="rId14"/>
    <pivotCache cacheId="1017" r:id="rId15"/>
    <pivotCache cacheId="1020" r:id="rId16"/>
    <pivotCache cacheId="1023"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fa1b3a0-8604-42c6-b86f-119aacdc82fd" name="Hospital Emergency Room Data" connection="Query - Hospital Emergency Room Data"/>
          <x15:modelTable id="Calender_Table_67977468-e412-4237-9cf6-c28e5ef8d696"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0" i="2" l="1"/>
  <c r="C30" i="2"/>
  <c r="B29" i="2"/>
  <c r="C29" i="2"/>
  <c r="A30" i="2"/>
  <c r="A2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9D409C-3B8B-4C3E-89A3-68EDCCBC504C}" name="Query - Calender_Table" description="Connection to the 'Calender_Table' query in the workbook." type="100" refreshedVersion="8" minRefreshableVersion="5">
    <extLst>
      <ext xmlns:x15="http://schemas.microsoft.com/office/spreadsheetml/2010/11/main" uri="{DE250136-89BD-433C-8126-D09CA5730AF9}">
        <x15:connection id="61144708-3a62-44b0-9c42-e9983bdaf359">
          <x15:oledbPr connection="Provider=Microsoft.Mashup.OleDb.1;Data Source=$Workbook$;Location=Calender_Table;Extended Properties=&quot;&quot;">
            <x15:dbTables>
              <x15:dbTable name="Calender_Table"/>
            </x15:dbTables>
          </x15:oledbPr>
        </x15:connection>
      </ext>
    </extLst>
  </connection>
  <connection id="2" xr16:uid="{2A257F2D-966E-4616-B1C5-E7C3A4D79CC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2a0575a-7d9f-4cd2-a9b5-cbbd6dd58734"/>
      </ext>
    </extLst>
  </connection>
  <connection id="3" xr16:uid="{16005484-353C-437C-A628-7D94EA01B4C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<sst xmlns="http://schemas.openxmlformats.org/spreadsheetml/2006/main" count="154" uniqueCount="75">
  <si>
    <t>Row Labels</t>
  </si>
  <si>
    <t>Grand Total</t>
  </si>
  <si>
    <t>Distinct Count of Patient Id</t>
  </si>
  <si>
    <t>Number of patient</t>
  </si>
  <si>
    <t>Average of Patient Waittime</t>
  </si>
  <si>
    <t>Average of Patient Satisfaction Score</t>
  </si>
  <si>
    <t>Daily trend No. of Patient</t>
  </si>
  <si>
    <t>Average Wait time</t>
  </si>
  <si>
    <t>Satisfaction Score Daily Trend</t>
  </si>
  <si>
    <t>Admitted</t>
  </si>
  <si>
    <t>Not Admitted</t>
  </si>
  <si>
    <t>Count of Patient Admission Flag</t>
  </si>
  <si>
    <t>Count of Patient Admission Flag2</t>
  </si>
  <si>
    <t>Admission Status</t>
  </si>
  <si>
    <t>No.of Patient</t>
  </si>
  <si>
    <t>%Status</t>
  </si>
  <si>
    <t>0-09</t>
  </si>
  <si>
    <t>10-19</t>
  </si>
  <si>
    <t>20-29</t>
  </si>
  <si>
    <t>30-39</t>
  </si>
  <si>
    <t>40-49</t>
  </si>
  <si>
    <t>50-59</t>
  </si>
  <si>
    <t>60-69</t>
  </si>
  <si>
    <t>70-79</t>
  </si>
  <si>
    <t>Count of Patient Age</t>
  </si>
  <si>
    <t>Age Group Wise analysis</t>
  </si>
  <si>
    <t>Count of Patient Id</t>
  </si>
  <si>
    <t>Delay</t>
  </si>
  <si>
    <t>OnTime</t>
  </si>
  <si>
    <t>Attended Status</t>
  </si>
  <si>
    <t>Female</t>
  </si>
  <si>
    <t>Male</t>
  </si>
  <si>
    <t>Count of Patient Gender</t>
  </si>
  <si>
    <t>Gender Wise report</t>
  </si>
  <si>
    <t>Cardiology</t>
  </si>
  <si>
    <t>Gastroenterology</t>
  </si>
  <si>
    <t>General Practice</t>
  </si>
  <si>
    <t>Neurology</t>
  </si>
  <si>
    <t>None</t>
  </si>
  <si>
    <t>Orthopedics</t>
  </si>
  <si>
    <t>Physiotherapy</t>
  </si>
  <si>
    <t>Renal</t>
  </si>
  <si>
    <t>Count of Department Referral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</si>
  <si>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</si>
  <si>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</si>
  <si>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</si>
  <si>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</si>
  <si>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</si>
  <si>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</si>
  <si>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</si>
  <si>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</si>
  <si>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</si>
  <si>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</si>
  <si>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</si>
  <si>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</si>
  <si>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</si>
  <si>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</si>
  <si>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</si>
  <si>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</si>
  <si>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</si>
  <si>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</si>
  <si>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</si>
  <si>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</si>
  <si>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</si>
  <si>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</si>
  <si>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</si>
  <si>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</si>
  <si>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</si>
  <si>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</si>
  <si>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</si>
  <si>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</si>
  <si>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</si>
  <si>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</si>
  <si>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2023</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</si>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</sst>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rgb="FF92D050"/>
      <name val="Aptos Narrow"/>
      <family val="2"/>
      <scheme val="minor"/>
    </font>
    <font>
      <sz val="11"/>
      <color theme="2" tint="-0.749992370372631"/>
      <name val="Aptos Narrow"/>
      <family val="2"/>
      <scheme val="minor"/>
    </font>
    <font>
      <sz val="11"/>
      <color theme="1"/>
      <name val="Aptos Narrow"/>
      <family val="2"/>
      <scheme val="minor"/>
    </font>
    <font>
      <sz val="11"/>
      <color theme="0"/>
      <name val="Aptos Narrow"/>
      <family val="2"/>
      <scheme val="minor"/>
    </font>
    <font>
      <u/>
      <sz val="11"/>
      <color theme="10"/>
      <name val="Aptos Narrow"/>
      <family val="2"/>
      <scheme val="minor"/>
    </font>
    <font>
      <u/>
      <sz val="11"/>
      <color rgb="FF92D050"/>
      <name val="Aptos Narrow"/>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3"/>
        <bgColor indexed="64"/>
      </patternFill>
    </fill>
    <fill>
      <patternFill patternType="solid">
        <fgColor theme="4" tint="-0.249977111117893"/>
        <bgColor indexed="64"/>
      </patternFill>
    </fill>
  </fills>
  <borders count="1">
    <border>
      <left/>
      <right/>
      <top/>
      <bottom/>
      <diagonal/>
    </border>
  </borders>
  <cellStyleXfs count="3">
    <xf numFmtId="0" fontId="0" fillId="0" borderId="0"/>
    <xf numFmtId="9" fontId="3" fillId="0" borderId="0" applyFont="0" applyFill="0" applyBorder="0" applyAlignment="0" applyProtection="0"/>
    <xf numFmtId="0" fontId="5" fillId="0" borderId="0" applyNumberForma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2" fillId="2" borderId="0" xfId="0" applyFont="1" applyFill="1"/>
    <xf numFmtId="0" fontId="0" fillId="2" borderId="0" xfId="0" applyFill="1"/>
    <xf numFmtId="0" fontId="5" fillId="2" borderId="0" xfId="2" quotePrefix="1" applyFill="1"/>
    <xf numFmtId="1" fontId="0" fillId="0" borderId="0" xfId="0" applyNumberFormat="1"/>
    <xf numFmtId="10" fontId="0" fillId="0" borderId="0" xfId="0" applyNumberFormat="1"/>
    <xf numFmtId="0" fontId="0" fillId="0" borderId="0" xfId="0" applyAlignment="1">
      <alignment horizontal="center" vertical="center"/>
    </xf>
    <xf numFmtId="9" fontId="0" fillId="0" borderId="0" xfId="1" applyFont="1" applyAlignment="1">
      <alignment horizontal="center" vertical="center"/>
    </xf>
    <xf numFmtId="0" fontId="0" fillId="3" borderId="0" xfId="0" applyFill="1"/>
    <xf numFmtId="0" fontId="4" fillId="3" borderId="0" xfId="0" applyFont="1" applyFill="1" applyAlignment="1">
      <alignment horizontal="center" vertical="center"/>
    </xf>
    <xf numFmtId="0" fontId="0" fillId="0" borderId="0" xfId="0" applyAlignment="1">
      <alignment horizontal="left" indent="1"/>
    </xf>
    <xf numFmtId="0" fontId="0" fillId="0" borderId="0" xfId="0" applyAlignment="1">
      <alignment vertical="top"/>
    </xf>
    <xf numFmtId="0" fontId="4" fillId="3" borderId="0" xfId="0" applyFont="1" applyFill="1" applyAlignment="1">
      <alignment horizontal="center" vertical="top"/>
    </xf>
    <xf numFmtId="0" fontId="0" fillId="0" borderId="0" xfId="0" applyAlignment="1">
      <alignment horizontal="center" vertical="top"/>
    </xf>
    <xf numFmtId="0" fontId="0" fillId="0" borderId="0" xfId="0" pivotButton="1" applyAlignment="1">
      <alignment vertical="top"/>
    </xf>
    <xf numFmtId="0" fontId="0" fillId="0" borderId="0" xfId="0" applyAlignment="1">
      <alignment horizontal="left" vertical="top"/>
    </xf>
    <xf numFmtId="0" fontId="6" fillId="4" borderId="0" xfId="0" applyFont="1" applyFill="1"/>
    <xf numFmtId="0" fontId="1" fillId="4" borderId="0" xfId="0" applyFont="1" applyFill="1"/>
  </cellXfs>
  <cellStyles count="3">
    <cellStyle name="Hyperlink" xfId="2" builtinId="8"/>
    <cellStyle name="Normal" xfId="0" builtinId="0"/>
    <cellStyle name="Percent" xfId="1" builtinId="5"/>
  </cellStyles>
  <dxfs count="16">
    <dxf>
      <alignment vertical="top"/>
    </dxf>
    <dxf>
      <alignment vertical="top"/>
    </dxf>
    <dxf>
      <alignment vertical="top"/>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6"/>
        </bottom>
        <vertical/>
        <horizontal/>
      </border>
    </dxf>
    <dxf>
      <font>
        <sz val="8"/>
        <color theme="1"/>
      </font>
      <fill>
        <patternFill>
          <bgColor theme="2"/>
        </patternFill>
      </fill>
      <border diagonalUp="0" diagonalDown="0">
        <left/>
        <right/>
        <top/>
        <bottom/>
        <vertical/>
        <horizontal/>
      </border>
    </dxf>
  </dxfs>
  <tableStyles count="1" defaultTableStyle="TableStyleMedium2" defaultPivotStyle="PivotStyleLight16">
    <tableStyle name="My style" pivot="0" table="0" count="10" xr9:uid="{F79542CF-377F-4A59-B4B5-231C85676378}">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938599338933996E-2"/>
              <c:y val="2.3391812865497075E-2"/>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D509513-8B51-4998-933C-2C50D8AB620A}"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388007054673721"/>
                  <c:h val="0.41574660633484156"/>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D7E4DF4-29E5-4195-843E-A4F037346E2E}"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9209876543209876"/>
                  <c:h val="0.3795475113122172"/>
                </c:manualLayout>
              </c15:layout>
              <c15:dlblFieldTable/>
              <c15:showDataLabelsRange val="1"/>
            </c:ext>
          </c:extLst>
        </c:dLbl>
      </c:pivotFmt>
    </c:pivotFmts>
    <c:plotArea>
      <c:layout>
        <c:manualLayout>
          <c:layoutTarget val="inner"/>
          <c:xMode val="edge"/>
          <c:yMode val="edge"/>
          <c:x val="7.7601410934744264E-2"/>
          <c:y val="0.31605470368835475"/>
          <c:w val="0.84490461477125489"/>
          <c:h val="0.59429571303587048"/>
        </c:manualLayout>
      </c:layout>
      <c:barChart>
        <c:barDir val="bar"/>
        <c:grouping val="clustered"/>
        <c:varyColors val="0"/>
        <c:ser>
          <c:idx val="0"/>
          <c:order val="0"/>
          <c:tx>
            <c:strRef>
              <c:f>'Pivot Report'!$D$16:$D$17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D3E-40B3-A207-8702EA21D06E}"/>
              </c:ext>
            </c:extLst>
          </c:dPt>
          <c:dPt>
            <c:idx val="1"/>
            <c:invertIfNegative val="0"/>
            <c:bubble3D val="0"/>
            <c:extLst>
              <c:ext xmlns:c16="http://schemas.microsoft.com/office/drawing/2014/chart" uri="{C3380CC4-5D6E-409C-BE32-E72D297353CC}">
                <c16:uniqueId val="{00000001-4D3E-40B3-A207-8702EA21D06E}"/>
              </c:ext>
            </c:extLst>
          </c:dPt>
          <c:dLbls>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D7E4DF4-29E5-4195-843E-A4F037346E2E}"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9209876543209876"/>
                      <c:h val="0.3795475113122172"/>
                    </c:manualLayout>
                  </c15:layout>
                  <c15:dlblFieldTable/>
                  <c15:showDataLabelsRange val="1"/>
                </c:ext>
                <c:ext xmlns:c16="http://schemas.microsoft.com/office/drawing/2014/chart" uri="{C3380CC4-5D6E-409C-BE32-E72D297353CC}">
                  <c16:uniqueId val="{00000000-4D3E-40B3-A207-8702EA21D06E}"/>
                </c:ext>
              </c:extLst>
            </c:dLbl>
            <c:dLbl>
              <c:idx val="1"/>
              <c:layout>
                <c:manualLayout>
                  <c:x val="8.938599338933996E-2"/>
                  <c:y val="2.3391812865497075E-2"/>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D509513-8B51-4998-933C-2C50D8AB620A}"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388007054673721"/>
                      <c:h val="0.41574660633484156"/>
                    </c:manualLayout>
                  </c15:layout>
                  <c15:dlblFieldTable/>
                  <c15:showDataLabelsRange val="1"/>
                </c:ext>
                <c:ext xmlns:c16="http://schemas.microsoft.com/office/drawing/2014/chart" uri="{C3380CC4-5D6E-409C-BE32-E72D297353CC}">
                  <c16:uniqueId val="{00000001-4D3E-40B3-A207-8702EA21D06E}"/>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Report'!$D$16:$D$17</c:f>
              <c:strCache>
                <c:ptCount val="2"/>
                <c:pt idx="0">
                  <c:v>Admitted</c:v>
                </c:pt>
                <c:pt idx="1">
                  <c:v>Not Admitted</c:v>
                </c:pt>
              </c:strCache>
            </c:strRef>
          </c:cat>
          <c:val>
            <c:numRef>
              <c:f>'Pivot Report'!$D$16:$D$17</c:f>
              <c:numCache>
                <c:formatCode>0</c:formatCode>
                <c:ptCount val="2"/>
                <c:pt idx="0">
                  <c:v>235</c:v>
                </c:pt>
                <c:pt idx="1">
                  <c:v>241</c:v>
                </c:pt>
              </c:numCache>
            </c:numRef>
          </c:val>
          <c:extLst>
            <c:ext xmlns:c15="http://schemas.microsoft.com/office/drawing/2012/chart" uri="{02D57815-91ED-43cb-92C2-25804820EDAC}">
              <c15:datalabelsRange>
                <c15:f>'Pivot Report'!$D$16:$D$17</c15:f>
                <c15:dlblRangeCache>
                  <c:ptCount val="2"/>
                  <c:pt idx="0">
                    <c:v>49.37%</c:v>
                  </c:pt>
                  <c:pt idx="1">
                    <c:v>50.63%</c:v>
                  </c:pt>
                </c15:dlblRangeCache>
              </c15:datalabelsRange>
            </c:ext>
            <c:ext xmlns:c16="http://schemas.microsoft.com/office/drawing/2014/chart" uri="{C3380CC4-5D6E-409C-BE32-E72D297353CC}">
              <c16:uniqueId val="{00000007-18BA-4C6C-BA3C-293DA5137CA0}"/>
            </c:ext>
          </c:extLst>
        </c:ser>
        <c:ser>
          <c:idx val="1"/>
          <c:order val="1"/>
          <c:tx>
            <c:strRef>
              <c:f>'Pivot Report'!$D$16:$D$17</c:f>
              <c:strCache>
                <c:ptCount val="1"/>
                <c:pt idx="0">
                  <c:v>Count of Patient Admission Flag2</c:v>
                </c:pt>
              </c:strCache>
            </c:strRef>
          </c:tx>
          <c:spPr>
            <a:solidFill>
              <a:schemeClr val="accent2"/>
            </a:solidFill>
            <a:ln>
              <a:noFill/>
            </a:ln>
            <a:effectLst/>
          </c:spPr>
          <c:invertIfNegative val="0"/>
          <c:cat>
            <c:strRef>
              <c:f>'Pivot Report'!$D$16:$D$17</c:f>
              <c:strCache>
                <c:ptCount val="2"/>
                <c:pt idx="0">
                  <c:v>Admitted</c:v>
                </c:pt>
                <c:pt idx="1">
                  <c:v>Not Admitted</c:v>
                </c:pt>
              </c:strCache>
            </c:strRef>
          </c:cat>
          <c:val>
            <c:numRef>
              <c:f>'Pivot Report'!$D$16:$D$17</c:f>
              <c:numCache>
                <c:formatCode>0.00%</c:formatCode>
                <c:ptCount val="2"/>
                <c:pt idx="0">
                  <c:v>0.49369747899159666</c:v>
                </c:pt>
                <c:pt idx="1">
                  <c:v>0.50630252100840334</c:v>
                </c:pt>
              </c:numCache>
            </c:numRef>
          </c:val>
          <c:extLst>
            <c:ext xmlns:c16="http://schemas.microsoft.com/office/drawing/2014/chart" uri="{C3380CC4-5D6E-409C-BE32-E72D297353CC}">
              <c16:uniqueId val="{00000008-18BA-4C6C-BA3C-293DA5137CA0}"/>
            </c:ext>
          </c:extLst>
        </c:ser>
        <c:dLbls>
          <c:showLegendKey val="0"/>
          <c:showVal val="0"/>
          <c:showCatName val="0"/>
          <c:showSerName val="0"/>
          <c:showPercent val="0"/>
          <c:showBubbleSize val="0"/>
        </c:dLbls>
        <c:gapWidth val="0"/>
        <c:axId val="461301808"/>
        <c:axId val="461304688"/>
      </c:barChart>
      <c:catAx>
        <c:axId val="461301808"/>
        <c:scaling>
          <c:orientation val="minMax"/>
        </c:scaling>
        <c:delete val="1"/>
        <c:axPos val="l"/>
        <c:numFmt formatCode="General" sourceLinked="1"/>
        <c:majorTickMark val="none"/>
        <c:minorTickMark val="none"/>
        <c:tickLblPos val="nextTo"/>
        <c:crossAx val="461304688"/>
        <c:crosses val="autoZero"/>
        <c:auto val="1"/>
        <c:lblAlgn val="ctr"/>
        <c:lblOffset val="100"/>
        <c:noMultiLvlLbl val="0"/>
      </c:catAx>
      <c:valAx>
        <c:axId val="461304688"/>
        <c:scaling>
          <c:orientation val="minMax"/>
        </c:scaling>
        <c:delete val="1"/>
        <c:axPos val="b"/>
        <c:numFmt formatCode="0" sourceLinked="1"/>
        <c:majorTickMark val="none"/>
        <c:minorTickMark val="none"/>
        <c:tickLblPos val="nextTo"/>
        <c:crossAx val="46130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01511246071813E-3"/>
          <c:y val="0"/>
          <c:w val="0.99667984887539285"/>
          <c:h val="1"/>
        </c:manualLayout>
      </c:layout>
      <c:areaChart>
        <c:grouping val="standard"/>
        <c:varyColors val="0"/>
        <c:ser>
          <c:idx val="0"/>
          <c:order val="0"/>
          <c:tx>
            <c:strRef>
              <c:f>'Pivot Report'!$F$3</c:f>
              <c:strCache>
                <c:ptCount val="1"/>
                <c:pt idx="0">
                  <c:v>Total</c:v>
                </c:pt>
              </c:strCache>
            </c:strRef>
          </c:tx>
          <c:spPr>
            <a:solidFill>
              <a:schemeClr val="accent1"/>
            </a:solidFill>
            <a:ln w="25400">
              <a:noFill/>
            </a:ln>
            <a:effectLst/>
          </c:spPr>
          <c:cat>
            <c:strRef>
              <c:f>'Pivot Report'!$E$4:$E$34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Report'!$F$4:$F$34</c:f>
              <c:numCache>
                <c:formatCode>General</c:formatCode>
                <c:ptCount val="30"/>
                <c:pt idx="0">
                  <c:v>19</c:v>
                </c:pt>
                <c:pt idx="1">
                  <c:v>13</c:v>
                </c:pt>
                <c:pt idx="2">
                  <c:v>14</c:v>
                </c:pt>
                <c:pt idx="3">
                  <c:v>9</c:v>
                </c:pt>
                <c:pt idx="4">
                  <c:v>19</c:v>
                </c:pt>
                <c:pt idx="5">
                  <c:v>14</c:v>
                </c:pt>
                <c:pt idx="6">
                  <c:v>11</c:v>
                </c:pt>
                <c:pt idx="7">
                  <c:v>21</c:v>
                </c:pt>
                <c:pt idx="8">
                  <c:v>12</c:v>
                </c:pt>
                <c:pt idx="9">
                  <c:v>13</c:v>
                </c:pt>
                <c:pt idx="10">
                  <c:v>17</c:v>
                </c:pt>
                <c:pt idx="11">
                  <c:v>30</c:v>
                </c:pt>
                <c:pt idx="12">
                  <c:v>13</c:v>
                </c:pt>
                <c:pt idx="13">
                  <c:v>21</c:v>
                </c:pt>
                <c:pt idx="14">
                  <c:v>12</c:v>
                </c:pt>
                <c:pt idx="15">
                  <c:v>17</c:v>
                </c:pt>
                <c:pt idx="16">
                  <c:v>16</c:v>
                </c:pt>
                <c:pt idx="17">
                  <c:v>18</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1CE3-44CF-B366-0C1C4EB3535D}"/>
            </c:ext>
          </c:extLst>
        </c:ser>
        <c:dLbls>
          <c:showLegendKey val="0"/>
          <c:showVal val="0"/>
          <c:showCatName val="0"/>
          <c:showSerName val="0"/>
          <c:showPercent val="0"/>
          <c:showBubbleSize val="0"/>
        </c:dLbls>
        <c:axId val="941087647"/>
        <c:axId val="941090047"/>
      </c:areaChart>
      <c:catAx>
        <c:axId val="941087647"/>
        <c:scaling>
          <c:orientation val="minMax"/>
        </c:scaling>
        <c:delete val="1"/>
        <c:axPos val="b"/>
        <c:numFmt formatCode="General" sourceLinked="1"/>
        <c:majorTickMark val="out"/>
        <c:minorTickMark val="none"/>
        <c:tickLblPos val="nextTo"/>
        <c:crossAx val="941090047"/>
        <c:crosses val="autoZero"/>
        <c:auto val="1"/>
        <c:lblAlgn val="ctr"/>
        <c:lblOffset val="100"/>
        <c:noMultiLvlLbl val="0"/>
      </c:catAx>
      <c:valAx>
        <c:axId val="941090047"/>
        <c:scaling>
          <c:orientation val="minMax"/>
        </c:scaling>
        <c:delete val="1"/>
        <c:axPos val="l"/>
        <c:numFmt formatCode="General" sourceLinked="1"/>
        <c:majorTickMark val="none"/>
        <c:minorTickMark val="none"/>
        <c:tickLblPos val="nextTo"/>
        <c:crossAx val="941087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81226688769167"/>
          <c:w val="0.98574003115920672"/>
          <c:h val="0.88130128470783253"/>
        </c:manualLayout>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Report'!$K$4:$K$34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31.428571428571427</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42.055555555555557</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FCBB-432C-A344-CE6D390087A7}"/>
            </c:ext>
          </c:extLst>
        </c:ser>
        <c:dLbls>
          <c:showLegendKey val="0"/>
          <c:showVal val="0"/>
          <c:showCatName val="0"/>
          <c:showSerName val="0"/>
          <c:showPercent val="0"/>
          <c:showBubbleSize val="0"/>
        </c:dLbls>
        <c:axId val="2057534479"/>
        <c:axId val="2057534959"/>
      </c:areaChart>
      <c:catAx>
        <c:axId val="2057534479"/>
        <c:scaling>
          <c:orientation val="minMax"/>
        </c:scaling>
        <c:delete val="1"/>
        <c:axPos val="b"/>
        <c:numFmt formatCode="General" sourceLinked="1"/>
        <c:majorTickMark val="out"/>
        <c:minorTickMark val="none"/>
        <c:tickLblPos val="nextTo"/>
        <c:crossAx val="2057534959"/>
        <c:crosses val="autoZero"/>
        <c:auto val="1"/>
        <c:lblAlgn val="ctr"/>
        <c:lblOffset val="100"/>
        <c:noMultiLvlLbl val="0"/>
      </c:catAx>
      <c:valAx>
        <c:axId val="2057534959"/>
        <c:scaling>
          <c:orientation val="minMax"/>
        </c:scaling>
        <c:delete val="1"/>
        <c:axPos val="l"/>
        <c:numFmt formatCode="0.00" sourceLinked="1"/>
        <c:majorTickMark val="none"/>
        <c:minorTickMark val="none"/>
        <c:tickLblPos val="nextTo"/>
        <c:crossAx val="20575344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102905240293239"/>
          <c:w val="1"/>
          <c:h val="0.89897094759706764"/>
        </c:manualLayout>
      </c:layout>
      <c:areaChart>
        <c:grouping val="standard"/>
        <c:varyColors val="0"/>
        <c:ser>
          <c:idx val="0"/>
          <c:order val="0"/>
          <c:tx>
            <c:strRef>
              <c:f>'Pivot Report'!$O$3</c:f>
              <c:strCache>
                <c:ptCount val="1"/>
                <c:pt idx="0">
                  <c:v>Total</c:v>
                </c:pt>
              </c:strCache>
            </c:strRef>
          </c:tx>
          <c:spPr>
            <a:solidFill>
              <a:schemeClr val="accent1"/>
            </a:solidFill>
            <a:ln w="25400">
              <a:noFill/>
            </a:ln>
            <a:effectLst/>
          </c:spPr>
          <c:cat>
            <c:strRef>
              <c:f>'Pivot Report'!$N$4:$N$34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Report'!$O$4:$O$34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8EB4-46AF-B1C3-3FBFB3551660}"/>
            </c:ext>
          </c:extLst>
        </c:ser>
        <c:dLbls>
          <c:showLegendKey val="0"/>
          <c:showVal val="0"/>
          <c:showCatName val="0"/>
          <c:showSerName val="0"/>
          <c:showPercent val="0"/>
          <c:showBubbleSize val="0"/>
        </c:dLbls>
        <c:axId val="1895777280"/>
        <c:axId val="1895778240"/>
      </c:areaChart>
      <c:catAx>
        <c:axId val="1895777280"/>
        <c:scaling>
          <c:orientation val="minMax"/>
        </c:scaling>
        <c:delete val="1"/>
        <c:axPos val="b"/>
        <c:numFmt formatCode="General" sourceLinked="1"/>
        <c:majorTickMark val="out"/>
        <c:minorTickMark val="none"/>
        <c:tickLblPos val="nextTo"/>
        <c:crossAx val="1895778240"/>
        <c:crosses val="autoZero"/>
        <c:auto val="1"/>
        <c:lblAlgn val="ctr"/>
        <c:lblOffset val="100"/>
        <c:noMultiLvlLbl val="0"/>
      </c:catAx>
      <c:valAx>
        <c:axId val="1895778240"/>
        <c:scaling>
          <c:orientation val="minMax"/>
        </c:scaling>
        <c:delete val="1"/>
        <c:axPos val="l"/>
        <c:numFmt formatCode="0.00" sourceLinked="1"/>
        <c:majorTickMark val="none"/>
        <c:minorTickMark val="none"/>
        <c:tickLblPos val="nextTo"/>
        <c:crossAx val="18957772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39639639639637E-2"/>
          <c:y val="8.3720991555386606E-2"/>
          <c:w val="0.95315315315315319"/>
          <c:h val="0.65471353577259528"/>
        </c:manualLayout>
      </c:layout>
      <c:barChart>
        <c:barDir val="col"/>
        <c:grouping val="clustered"/>
        <c:varyColors val="0"/>
        <c:ser>
          <c:idx val="0"/>
          <c:order val="0"/>
          <c:tx>
            <c:strRef>
              <c:f>'Pivot Report'!$B$33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Report'!$A$34:$A$42</c:f>
              <c:strCache>
                <c:ptCount val="8"/>
                <c:pt idx="0">
                  <c:v>0-09</c:v>
                </c:pt>
                <c:pt idx="1">
                  <c:v>10-19</c:v>
                </c:pt>
                <c:pt idx="2">
                  <c:v>20-29</c:v>
                </c:pt>
                <c:pt idx="3">
                  <c:v>30-39</c:v>
                </c:pt>
                <c:pt idx="4">
                  <c:v>40-49</c:v>
                </c:pt>
                <c:pt idx="5">
                  <c:v>50-59</c:v>
                </c:pt>
                <c:pt idx="6">
                  <c:v>60-69</c:v>
                </c:pt>
                <c:pt idx="7">
                  <c:v>70-79</c:v>
                </c:pt>
              </c:strCache>
            </c:strRef>
          </c:cat>
          <c:val>
            <c:numRef>
              <c:f>'Pivot Report'!$B$34:$B$42</c:f>
              <c:numCache>
                <c:formatCode>0</c:formatCode>
                <c:ptCount val="8"/>
                <c:pt idx="0">
                  <c:v>70</c:v>
                </c:pt>
                <c:pt idx="1">
                  <c:v>65</c:v>
                </c:pt>
                <c:pt idx="2">
                  <c:v>64</c:v>
                </c:pt>
                <c:pt idx="3">
                  <c:v>60</c:v>
                </c:pt>
                <c:pt idx="4">
                  <c:v>41</c:v>
                </c:pt>
                <c:pt idx="5">
                  <c:v>53</c:v>
                </c:pt>
                <c:pt idx="6">
                  <c:v>71</c:v>
                </c:pt>
                <c:pt idx="7">
                  <c:v>52</c:v>
                </c:pt>
              </c:numCache>
            </c:numRef>
          </c:val>
          <c:extLst>
            <c:ext xmlns:c16="http://schemas.microsoft.com/office/drawing/2014/chart" uri="{C3380CC4-5D6E-409C-BE32-E72D297353CC}">
              <c16:uniqueId val="{00000003-C397-428D-BBEF-F3410A2A7E53}"/>
            </c:ext>
          </c:extLst>
        </c:ser>
        <c:dLbls>
          <c:showLegendKey val="0"/>
          <c:showVal val="0"/>
          <c:showCatName val="0"/>
          <c:showSerName val="0"/>
          <c:showPercent val="0"/>
          <c:showBubbleSize val="0"/>
        </c:dLbls>
        <c:gapWidth val="219"/>
        <c:overlap val="-27"/>
        <c:axId val="563500256"/>
        <c:axId val="563501216"/>
      </c:barChart>
      <c:catAx>
        <c:axId val="5635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501216"/>
        <c:crosses val="autoZero"/>
        <c:auto val="1"/>
        <c:lblAlgn val="ctr"/>
        <c:lblOffset val="100"/>
        <c:noMultiLvlLbl val="0"/>
      </c:catAx>
      <c:valAx>
        <c:axId val="563501216"/>
        <c:scaling>
          <c:orientation val="minMax"/>
        </c:scaling>
        <c:delete val="1"/>
        <c:axPos val="l"/>
        <c:numFmt formatCode="0" sourceLinked="1"/>
        <c:majorTickMark val="none"/>
        <c:minorTickMark val="none"/>
        <c:tickLblPos val="nextTo"/>
        <c:crossAx val="56350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540322580645162"/>
          <c:y val="0.21463414634146341"/>
          <c:w val="0.64919354838709675"/>
          <c:h val="0.78536585365853662"/>
        </c:manualLayout>
      </c:layout>
      <c:pieChart>
        <c:varyColors val="1"/>
        <c:ser>
          <c:idx val="0"/>
          <c:order val="0"/>
          <c:tx>
            <c:strRef>
              <c:f>'Pivot Report'!$F$38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EE4-4FA6-A858-A232EFCCB1B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EE4-4FA6-A858-A232EFCCB1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Report'!$E$39:$E$41</c:f>
              <c:strCache>
                <c:ptCount val="2"/>
                <c:pt idx="0">
                  <c:v>Delay</c:v>
                </c:pt>
                <c:pt idx="1">
                  <c:v>OnTime</c:v>
                </c:pt>
              </c:strCache>
            </c:strRef>
          </c:cat>
          <c:val>
            <c:numRef>
              <c:f>'Pivot Report'!$F$39:$F$41</c:f>
              <c:numCache>
                <c:formatCode>0</c:formatCode>
                <c:ptCount val="2"/>
                <c:pt idx="0">
                  <c:v>271</c:v>
                </c:pt>
                <c:pt idx="1">
                  <c:v>205</c:v>
                </c:pt>
              </c:numCache>
            </c:numRef>
          </c:val>
          <c:extLst>
            <c:ext xmlns:c16="http://schemas.microsoft.com/office/drawing/2014/chart" uri="{C3380CC4-5D6E-409C-BE32-E72D297353CC}">
              <c16:uniqueId val="{00000007-0CFD-4043-914C-D52BF26EBF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5954406908813823E-2"/>
          <c:y val="4.1666666666666664E-2"/>
          <c:w val="0.92598107696215393"/>
          <c:h val="0.13829478346456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9.6618357487922701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400616748001556"/>
                  <c:h val="0.14690859294762068"/>
                </c:manualLayout>
              </c15:layout>
            </c:ext>
          </c:extLst>
        </c:dLbl>
      </c:pivotFmt>
    </c:pivotFmts>
    <c:plotArea>
      <c:layout>
        <c:manualLayout>
          <c:layoutTarget val="inner"/>
          <c:xMode val="edge"/>
          <c:yMode val="edge"/>
          <c:x val="0.20439627556061196"/>
          <c:y val="0.22675719882840731"/>
          <c:w val="0.55653722942426875"/>
          <c:h val="0.7070980257902546"/>
        </c:manualLayout>
      </c:layout>
      <c:doughnutChart>
        <c:varyColors val="1"/>
        <c:ser>
          <c:idx val="0"/>
          <c:order val="0"/>
          <c:tx>
            <c:strRef>
              <c:f>'Pivot Report'!$J$38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5662-41D9-AC5B-95E04B223E02}"/>
              </c:ext>
            </c:extLst>
          </c:dPt>
          <c:dPt>
            <c:idx val="1"/>
            <c:bubble3D val="0"/>
            <c:spPr>
              <a:solidFill>
                <a:schemeClr val="accent2"/>
              </a:solidFill>
              <a:ln>
                <a:noFill/>
              </a:ln>
              <a:effectLst/>
            </c:spPr>
            <c:extLst>
              <c:ext xmlns:c16="http://schemas.microsoft.com/office/drawing/2014/chart" uri="{C3380CC4-5D6E-409C-BE32-E72D297353CC}">
                <c16:uniqueId val="{00000003-5662-41D9-AC5B-95E04B223E02}"/>
              </c:ext>
            </c:extLst>
          </c:dPt>
          <c:dLbls>
            <c:dLbl>
              <c:idx val="0"/>
              <c:layout>
                <c:manualLayout>
                  <c:x val="0"/>
                  <c:y val="9.661835748792270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62-41D9-AC5B-95E04B223E02}"/>
                </c:ext>
              </c:extLst>
            </c:dLbl>
            <c:dLbl>
              <c:idx val="1"/>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400616748001556"/>
                      <c:h val="0.14690859294762068"/>
                    </c:manualLayout>
                  </c15:layout>
                </c:ext>
                <c:ext xmlns:c16="http://schemas.microsoft.com/office/drawing/2014/chart" uri="{C3380CC4-5D6E-409C-BE32-E72D297353CC}">
                  <c16:uniqueId val="{00000003-5662-41D9-AC5B-95E04B223E02}"/>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Report'!$I$39:$I$41</c:f>
              <c:strCache>
                <c:ptCount val="2"/>
                <c:pt idx="0">
                  <c:v>Female</c:v>
                </c:pt>
                <c:pt idx="1">
                  <c:v>Male</c:v>
                </c:pt>
              </c:strCache>
            </c:strRef>
          </c:cat>
          <c:val>
            <c:numRef>
              <c:f>'Pivot Report'!$J$39:$J$41</c:f>
              <c:numCache>
                <c:formatCode>0</c:formatCode>
                <c:ptCount val="2"/>
                <c:pt idx="0">
                  <c:v>232</c:v>
                </c:pt>
                <c:pt idx="1">
                  <c:v>244</c:v>
                </c:pt>
              </c:numCache>
            </c:numRef>
          </c:val>
          <c:extLst>
            <c:ext xmlns:c16="http://schemas.microsoft.com/office/drawing/2014/chart" uri="{C3380CC4-5D6E-409C-BE32-E72D297353CC}">
              <c16:uniqueId val="{00000007-01AE-49D9-BE83-818041E5ED1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5.6334840274243292E-2"/>
          <c:y val="5.7971014492753624E-2"/>
          <c:w val="0.83409778150354763"/>
          <c:h val="0.163044619422572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2616863391116"/>
          <c:y val="6.3037249283667621E-2"/>
          <c:w val="0.67518400411081048"/>
          <c:h val="0.80447984116598603"/>
        </c:manualLayout>
      </c:layout>
      <c:barChart>
        <c:barDir val="bar"/>
        <c:grouping val="clustered"/>
        <c:varyColors val="0"/>
        <c:ser>
          <c:idx val="0"/>
          <c:order val="0"/>
          <c:tx>
            <c:strRef>
              <c:f>'Pivot Report'!$M$38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Report'!$L$39:$L$47</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Report'!$M$39:$M$47</c:f>
              <c:numCache>
                <c:formatCode>0</c:formatCode>
                <c:ptCount val="8"/>
                <c:pt idx="0">
                  <c:v>4</c:v>
                </c:pt>
                <c:pt idx="1">
                  <c:v>11</c:v>
                </c:pt>
                <c:pt idx="2">
                  <c:v>11</c:v>
                </c:pt>
                <c:pt idx="3">
                  <c:v>12</c:v>
                </c:pt>
                <c:pt idx="4">
                  <c:v>18</c:v>
                </c:pt>
                <c:pt idx="5">
                  <c:v>45</c:v>
                </c:pt>
                <c:pt idx="6">
                  <c:v>114</c:v>
                </c:pt>
                <c:pt idx="7">
                  <c:v>261</c:v>
                </c:pt>
              </c:numCache>
            </c:numRef>
          </c:val>
          <c:extLst>
            <c:ext xmlns:c16="http://schemas.microsoft.com/office/drawing/2014/chart" uri="{C3380CC4-5D6E-409C-BE32-E72D297353CC}">
              <c16:uniqueId val="{00000003-7E10-4C4E-AEF8-2DB79C13E80A}"/>
            </c:ext>
          </c:extLst>
        </c:ser>
        <c:dLbls>
          <c:showLegendKey val="0"/>
          <c:showVal val="0"/>
          <c:showCatName val="0"/>
          <c:showSerName val="0"/>
          <c:showPercent val="0"/>
          <c:showBubbleSize val="0"/>
        </c:dLbls>
        <c:gapWidth val="27"/>
        <c:axId val="433134192"/>
        <c:axId val="433128912"/>
      </c:barChart>
      <c:catAx>
        <c:axId val="43313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28912"/>
        <c:crosses val="autoZero"/>
        <c:auto val="1"/>
        <c:lblAlgn val="ctr"/>
        <c:lblOffset val="100"/>
        <c:noMultiLvlLbl val="0"/>
      </c:catAx>
      <c:valAx>
        <c:axId val="4331289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3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40627514078835E-3"/>
          <c:y val="0.1081226688769167"/>
          <c:w val="0.9806918744971842"/>
          <c:h val="0.88130128470783253"/>
        </c:manualLayout>
      </c:layout>
      <c:areaChart>
        <c:grouping val="standard"/>
        <c:varyColors val="0"/>
        <c:ser>
          <c:idx val="0"/>
          <c:order val="0"/>
          <c:tx>
            <c:strRef>
              <c:f>'Pivot Report'!$K$3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Report'!$J$4:$J$34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Report'!$K$4:$K$34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31.428571428571427</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42.055555555555557</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1-25E4-4FB3-AC2D-DAE508DF451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57534479"/>
        <c:axId val="2057534959"/>
      </c:areaChart>
      <c:catAx>
        <c:axId val="20575344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2057534959"/>
        <c:crosses val="autoZero"/>
        <c:auto val="1"/>
        <c:lblAlgn val="ctr"/>
        <c:lblOffset val="100"/>
        <c:noMultiLvlLbl val="0"/>
      </c:catAx>
      <c:valAx>
        <c:axId val="2057534959"/>
        <c:scaling>
          <c:orientation val="minMax"/>
        </c:scaling>
        <c:delete val="1"/>
        <c:axPos val="l"/>
        <c:numFmt formatCode="0.00" sourceLinked="1"/>
        <c:majorTickMark val="out"/>
        <c:minorTickMark val="none"/>
        <c:tickLblPos val="nextTo"/>
        <c:crossAx val="20575344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5.3547523427041497E-3"/>
              <c:y val="-7.217764388798736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66343080890732E-2"/>
          <c:y val="3.1982956244393498E-2"/>
          <c:w val="0.91489361702127658"/>
          <c:h val="0.7516138632277265"/>
        </c:manualLayout>
      </c:layout>
      <c:areaChart>
        <c:grouping val="standard"/>
        <c:varyColors val="0"/>
        <c:ser>
          <c:idx val="0"/>
          <c:order val="0"/>
          <c:tx>
            <c:strRef>
              <c:f>'Pivot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Report'!$E$4:$E$34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Report'!$F$4:$F$34</c:f>
              <c:numCache>
                <c:formatCode>General</c:formatCode>
                <c:ptCount val="30"/>
                <c:pt idx="0">
                  <c:v>19</c:v>
                </c:pt>
                <c:pt idx="1">
                  <c:v>13</c:v>
                </c:pt>
                <c:pt idx="2">
                  <c:v>14</c:v>
                </c:pt>
                <c:pt idx="3">
                  <c:v>9</c:v>
                </c:pt>
                <c:pt idx="4">
                  <c:v>19</c:v>
                </c:pt>
                <c:pt idx="5">
                  <c:v>14</c:v>
                </c:pt>
                <c:pt idx="6">
                  <c:v>11</c:v>
                </c:pt>
                <c:pt idx="7">
                  <c:v>21</c:v>
                </c:pt>
                <c:pt idx="8">
                  <c:v>12</c:v>
                </c:pt>
                <c:pt idx="9">
                  <c:v>13</c:v>
                </c:pt>
                <c:pt idx="10">
                  <c:v>17</c:v>
                </c:pt>
                <c:pt idx="11">
                  <c:v>30</c:v>
                </c:pt>
                <c:pt idx="12">
                  <c:v>13</c:v>
                </c:pt>
                <c:pt idx="13">
                  <c:v>21</c:v>
                </c:pt>
                <c:pt idx="14">
                  <c:v>12</c:v>
                </c:pt>
                <c:pt idx="15">
                  <c:v>17</c:v>
                </c:pt>
                <c:pt idx="16">
                  <c:v>16</c:v>
                </c:pt>
                <c:pt idx="17">
                  <c:v>18</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7C2E-4E99-B44D-53F45031F4C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41087647"/>
        <c:axId val="941090047"/>
      </c:areaChart>
      <c:catAx>
        <c:axId val="9410876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1090047"/>
        <c:crosses val="autoZero"/>
        <c:auto val="1"/>
        <c:lblAlgn val="ctr"/>
        <c:lblOffset val="100"/>
        <c:noMultiLvlLbl val="0"/>
      </c:catAx>
      <c:valAx>
        <c:axId val="941090047"/>
        <c:scaling>
          <c:orientation val="minMax"/>
        </c:scaling>
        <c:delete val="1"/>
        <c:axPos val="l"/>
        <c:numFmt formatCode="General" sourceLinked="1"/>
        <c:majorTickMark val="out"/>
        <c:minorTickMark val="none"/>
        <c:tickLblPos val="nextTo"/>
        <c:crossAx val="941087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21935120137333E-2"/>
          <c:y val="3.9568345323741004E-2"/>
          <c:w val="0.93048086607838543"/>
          <c:h val="0.73883372762261224"/>
        </c:manualLayout>
      </c:layout>
      <c:areaChart>
        <c:grouping val="standard"/>
        <c:varyColors val="0"/>
        <c:ser>
          <c:idx val="0"/>
          <c:order val="0"/>
          <c:tx>
            <c:strRef>
              <c:f>'Pivot Report'!$O$3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Report'!$N$4:$N$34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Report'!$O$4:$O$34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B3FE-452D-9C3B-C2A25ED4A7D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95777280"/>
        <c:axId val="1895778240"/>
      </c:areaChart>
      <c:catAx>
        <c:axId val="18957772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895778240"/>
        <c:crosses val="autoZero"/>
        <c:auto val="1"/>
        <c:lblAlgn val="ctr"/>
        <c:lblOffset val="100"/>
        <c:noMultiLvlLbl val="0"/>
      </c:catAx>
      <c:valAx>
        <c:axId val="1895778240"/>
        <c:scaling>
          <c:orientation val="minMax"/>
        </c:scaling>
        <c:delete val="1"/>
        <c:axPos val="l"/>
        <c:numFmt formatCode="0.00" sourceLinked="1"/>
        <c:majorTickMark val="out"/>
        <c:minorTickMark val="none"/>
        <c:tickLblPos val="nextTo"/>
        <c:crossAx val="18957772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visits'!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520701</xdr:colOff>
      <xdr:row>27</xdr:row>
      <xdr:rowOff>22225</xdr:rowOff>
    </xdr:from>
    <xdr:to>
      <xdr:col>4</xdr:col>
      <xdr:colOff>0</xdr:colOff>
      <xdr:row>30</xdr:row>
      <xdr:rowOff>12700</xdr:rowOff>
    </xdr:to>
    <xdr:graphicFrame macro="">
      <xdr:nvGraphicFramePr>
        <xdr:cNvPr id="5" name="Chart 4">
          <a:extLst>
            <a:ext uri="{FF2B5EF4-FFF2-40B4-BE49-F238E27FC236}">
              <a16:creationId xmlns:a16="http://schemas.microsoft.com/office/drawing/2014/main" id="{902AEE2A-0A4D-43D5-4665-14443C977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69850</xdr:rowOff>
    </xdr:from>
    <xdr:to>
      <xdr:col>5</xdr:col>
      <xdr:colOff>44450</xdr:colOff>
      <xdr:row>3</xdr:row>
      <xdr:rowOff>152400</xdr:rowOff>
    </xdr:to>
    <xdr:sp macro="" textlink="">
      <xdr:nvSpPr>
        <xdr:cNvPr id="2" name="Rectangle: Rounded Corners 1">
          <a:extLst>
            <a:ext uri="{FF2B5EF4-FFF2-40B4-BE49-F238E27FC236}">
              <a16:creationId xmlns:a16="http://schemas.microsoft.com/office/drawing/2014/main" id="{7F12BFFF-8AEF-CD95-1CAC-F95E1380D330}"/>
            </a:ext>
          </a:extLst>
        </xdr:cNvPr>
        <xdr:cNvSpPr/>
      </xdr:nvSpPr>
      <xdr:spPr>
        <a:xfrm>
          <a:off x="76200" y="69850"/>
          <a:ext cx="3016250" cy="635000"/>
        </a:xfrm>
        <a:prstGeom prst="roundRect">
          <a:avLst>
            <a:gd name="adj" fmla="val 1746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absolute">
    <xdr:from>
      <xdr:col>5</xdr:col>
      <xdr:colOff>101600</xdr:colOff>
      <xdr:row>0</xdr:row>
      <xdr:rowOff>69850</xdr:rowOff>
    </xdr:from>
    <xdr:to>
      <xdr:col>7</xdr:col>
      <xdr:colOff>596900</xdr:colOff>
      <xdr:row>3</xdr:row>
      <xdr:rowOff>171450</xdr:rowOff>
    </xdr:to>
    <xdr:sp macro="" textlink="">
      <xdr:nvSpPr>
        <xdr:cNvPr id="3" name="Rectangle: Rounded Corners 2">
          <a:extLst>
            <a:ext uri="{FF2B5EF4-FFF2-40B4-BE49-F238E27FC236}">
              <a16:creationId xmlns:a16="http://schemas.microsoft.com/office/drawing/2014/main" id="{B01F91BA-57EA-FEE5-9D6C-F7AC21F20229}"/>
            </a:ext>
          </a:extLst>
        </xdr:cNvPr>
        <xdr:cNvSpPr/>
      </xdr:nvSpPr>
      <xdr:spPr>
        <a:xfrm>
          <a:off x="3149600" y="69850"/>
          <a:ext cx="1714500" cy="654050"/>
        </a:xfrm>
        <a:prstGeom prst="roundRect">
          <a:avLst>
            <a:gd name="adj" fmla="val 174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2">
                <a:lumMod val="25000"/>
              </a:schemeClr>
            </a:solidFill>
          </a:endParaRPr>
        </a:p>
      </xdr:txBody>
    </xdr:sp>
    <xdr:clientData/>
  </xdr:twoCellAnchor>
  <xdr:twoCellAnchor editAs="absolute">
    <xdr:from>
      <xdr:col>10</xdr:col>
      <xdr:colOff>514350</xdr:colOff>
      <xdr:row>0</xdr:row>
      <xdr:rowOff>76200</xdr:rowOff>
    </xdr:from>
    <xdr:to>
      <xdr:col>13</xdr:col>
      <xdr:colOff>304800</xdr:colOff>
      <xdr:row>8</xdr:row>
      <xdr:rowOff>38100</xdr:rowOff>
    </xdr:to>
    <xdr:sp macro="" textlink="">
      <xdr:nvSpPr>
        <xdr:cNvPr id="4" name="Rectangle: Rounded Corners 3">
          <a:extLst>
            <a:ext uri="{FF2B5EF4-FFF2-40B4-BE49-F238E27FC236}">
              <a16:creationId xmlns:a16="http://schemas.microsoft.com/office/drawing/2014/main" id="{E97921B3-5CE1-13B3-CF37-C7A71E950B30}"/>
            </a:ext>
          </a:extLst>
        </xdr:cNvPr>
        <xdr:cNvSpPr/>
      </xdr:nvSpPr>
      <xdr:spPr>
        <a:xfrm>
          <a:off x="6610350" y="76200"/>
          <a:ext cx="1619250" cy="1435100"/>
        </a:xfrm>
        <a:prstGeom prst="roundRect">
          <a:avLst>
            <a:gd name="adj" fmla="val 135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19050</xdr:colOff>
      <xdr:row>0</xdr:row>
      <xdr:rowOff>76200</xdr:rowOff>
    </xdr:from>
    <xdr:to>
      <xdr:col>10</xdr:col>
      <xdr:colOff>431800</xdr:colOff>
      <xdr:row>8</xdr:row>
      <xdr:rowOff>38100</xdr:rowOff>
    </xdr:to>
    <xdr:sp macro="" textlink="">
      <xdr:nvSpPr>
        <xdr:cNvPr id="5" name="Rectangle: Rounded Corners 4">
          <a:extLst>
            <a:ext uri="{FF2B5EF4-FFF2-40B4-BE49-F238E27FC236}">
              <a16:creationId xmlns:a16="http://schemas.microsoft.com/office/drawing/2014/main" id="{9DD3EFCD-3B81-C9CE-439E-A1A8B8D0BE7B}"/>
            </a:ext>
          </a:extLst>
        </xdr:cNvPr>
        <xdr:cNvSpPr/>
      </xdr:nvSpPr>
      <xdr:spPr>
        <a:xfrm>
          <a:off x="4895850" y="76200"/>
          <a:ext cx="1631950" cy="1435100"/>
        </a:xfrm>
        <a:prstGeom prst="roundRect">
          <a:avLst>
            <a:gd name="adj" fmla="val 1528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76200</xdr:colOff>
      <xdr:row>4</xdr:row>
      <xdr:rowOff>12700</xdr:rowOff>
    </xdr:from>
    <xdr:to>
      <xdr:col>1</xdr:col>
      <xdr:colOff>565150</xdr:colOff>
      <xdr:row>21</xdr:row>
      <xdr:rowOff>127000</xdr:rowOff>
    </xdr:to>
    <xdr:sp macro="" textlink="">
      <xdr:nvSpPr>
        <xdr:cNvPr id="7" name="Rectangle: Rounded Corners 6">
          <a:extLst>
            <a:ext uri="{FF2B5EF4-FFF2-40B4-BE49-F238E27FC236}">
              <a16:creationId xmlns:a16="http://schemas.microsoft.com/office/drawing/2014/main" id="{5CCBDE50-D1B7-C0A5-E127-72B01A216EF0}"/>
            </a:ext>
          </a:extLst>
        </xdr:cNvPr>
        <xdr:cNvSpPr/>
      </xdr:nvSpPr>
      <xdr:spPr>
        <a:xfrm>
          <a:off x="76200" y="749300"/>
          <a:ext cx="1098550" cy="3244850"/>
        </a:xfrm>
        <a:prstGeom prst="roundRect">
          <a:avLst>
            <a:gd name="adj" fmla="val 43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583116</xdr:colOff>
      <xdr:row>4</xdr:row>
      <xdr:rowOff>6350</xdr:rowOff>
    </xdr:from>
    <xdr:to>
      <xdr:col>7</xdr:col>
      <xdr:colOff>587916</xdr:colOff>
      <xdr:row>9</xdr:row>
      <xdr:rowOff>32400</xdr:rowOff>
    </xdr:to>
    <xdr:sp macro="" textlink="">
      <xdr:nvSpPr>
        <xdr:cNvPr id="10" name="Rectangle: Rounded Corners 9">
          <a:extLst>
            <a:ext uri="{FF2B5EF4-FFF2-40B4-BE49-F238E27FC236}">
              <a16:creationId xmlns:a16="http://schemas.microsoft.com/office/drawing/2014/main" id="{37BF9F3E-AC8B-57ED-899D-6B54F3CD2C04}"/>
            </a:ext>
          </a:extLst>
        </xdr:cNvPr>
        <xdr:cNvSpPr/>
      </xdr:nvSpPr>
      <xdr:spPr>
        <a:xfrm>
          <a:off x="3631116" y="742950"/>
          <a:ext cx="1224000" cy="946800"/>
        </a:xfrm>
        <a:prstGeom prst="roundRect">
          <a:avLst>
            <a:gd name="adj" fmla="val 43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584199</xdr:colOff>
      <xdr:row>3</xdr:row>
      <xdr:rowOff>171450</xdr:rowOff>
    </xdr:from>
    <xdr:to>
      <xdr:col>5</xdr:col>
      <xdr:colOff>588999</xdr:colOff>
      <xdr:row>9</xdr:row>
      <xdr:rowOff>13350</xdr:rowOff>
    </xdr:to>
    <xdr:sp macro="" textlink="">
      <xdr:nvSpPr>
        <xdr:cNvPr id="11" name="Rectangle: Rounded Corners 10">
          <a:extLst>
            <a:ext uri="{FF2B5EF4-FFF2-40B4-BE49-F238E27FC236}">
              <a16:creationId xmlns:a16="http://schemas.microsoft.com/office/drawing/2014/main" id="{3352A42C-DF6A-BDE7-971B-0900AD96D04D}"/>
            </a:ext>
          </a:extLst>
        </xdr:cNvPr>
        <xdr:cNvSpPr/>
      </xdr:nvSpPr>
      <xdr:spPr>
        <a:xfrm>
          <a:off x="2412999" y="723900"/>
          <a:ext cx="1224000" cy="946800"/>
        </a:xfrm>
        <a:prstGeom prst="roundRect">
          <a:avLst>
            <a:gd name="adj" fmla="val 43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603250</xdr:colOff>
      <xdr:row>13</xdr:row>
      <xdr:rowOff>152400</xdr:rowOff>
    </xdr:from>
    <xdr:to>
      <xdr:col>7</xdr:col>
      <xdr:colOff>581650</xdr:colOff>
      <xdr:row>21</xdr:row>
      <xdr:rowOff>146701</xdr:rowOff>
    </xdr:to>
    <xdr:sp macro="" textlink="">
      <xdr:nvSpPr>
        <xdr:cNvPr id="19" name="Rectangle: Rounded Corners 18">
          <a:extLst>
            <a:ext uri="{FF2B5EF4-FFF2-40B4-BE49-F238E27FC236}">
              <a16:creationId xmlns:a16="http://schemas.microsoft.com/office/drawing/2014/main" id="{49B56C99-5CAE-651A-19D2-5D8D1CC8E7CC}"/>
            </a:ext>
          </a:extLst>
        </xdr:cNvPr>
        <xdr:cNvSpPr/>
      </xdr:nvSpPr>
      <xdr:spPr>
        <a:xfrm>
          <a:off x="1212850" y="2546350"/>
          <a:ext cx="3636000" cy="1467501"/>
        </a:xfrm>
        <a:prstGeom prst="roundRect">
          <a:avLst>
            <a:gd name="adj" fmla="val 43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590550</xdr:colOff>
      <xdr:row>9</xdr:row>
      <xdr:rowOff>88900</xdr:rowOff>
    </xdr:from>
    <xdr:to>
      <xdr:col>7</xdr:col>
      <xdr:colOff>568950</xdr:colOff>
      <xdr:row>13</xdr:row>
      <xdr:rowOff>114300</xdr:rowOff>
    </xdr:to>
    <xdr:sp macro="" textlink="">
      <xdr:nvSpPr>
        <xdr:cNvPr id="20" name="Rectangle: Rounded Corners 19">
          <a:extLst>
            <a:ext uri="{FF2B5EF4-FFF2-40B4-BE49-F238E27FC236}">
              <a16:creationId xmlns:a16="http://schemas.microsoft.com/office/drawing/2014/main" id="{4A36FD8C-D9A1-376D-B176-E929CB7CA132}"/>
            </a:ext>
          </a:extLst>
        </xdr:cNvPr>
        <xdr:cNvSpPr/>
      </xdr:nvSpPr>
      <xdr:spPr>
        <a:xfrm>
          <a:off x="1200150" y="1746250"/>
          <a:ext cx="3636000" cy="762000"/>
        </a:xfrm>
        <a:prstGeom prst="roundRect">
          <a:avLst>
            <a:gd name="adj" fmla="val 43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12700</xdr:colOff>
      <xdr:row>8</xdr:row>
      <xdr:rowOff>82550</xdr:rowOff>
    </xdr:from>
    <xdr:to>
      <xdr:col>13</xdr:col>
      <xdr:colOff>368300</xdr:colOff>
      <xdr:row>21</xdr:row>
      <xdr:rowOff>133350</xdr:rowOff>
    </xdr:to>
    <xdr:sp macro="" textlink="">
      <xdr:nvSpPr>
        <xdr:cNvPr id="29" name="Rectangle: Rounded Corners 28">
          <a:extLst>
            <a:ext uri="{FF2B5EF4-FFF2-40B4-BE49-F238E27FC236}">
              <a16:creationId xmlns:a16="http://schemas.microsoft.com/office/drawing/2014/main" id="{03C0BCF3-3383-9148-6FC3-317CBAD6C7B3}"/>
            </a:ext>
          </a:extLst>
        </xdr:cNvPr>
        <xdr:cNvSpPr/>
      </xdr:nvSpPr>
      <xdr:spPr>
        <a:xfrm>
          <a:off x="4889500" y="1555750"/>
          <a:ext cx="3403600" cy="2444750"/>
        </a:xfrm>
        <a:prstGeom prst="roundRect">
          <a:avLst>
            <a:gd name="adj" fmla="val 708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139700</xdr:colOff>
      <xdr:row>0</xdr:row>
      <xdr:rowOff>133350</xdr:rowOff>
    </xdr:from>
    <xdr:to>
      <xdr:col>4</xdr:col>
      <xdr:colOff>508000</xdr:colOff>
      <xdr:row>2</xdr:row>
      <xdr:rowOff>88900</xdr:rowOff>
    </xdr:to>
    <xdr:sp macro="" textlink="">
      <xdr:nvSpPr>
        <xdr:cNvPr id="30" name="TextBox 29">
          <a:extLst>
            <a:ext uri="{FF2B5EF4-FFF2-40B4-BE49-F238E27FC236}">
              <a16:creationId xmlns:a16="http://schemas.microsoft.com/office/drawing/2014/main" id="{DD79DE98-5C29-DCF7-C2E1-50028FA06253}"/>
            </a:ext>
          </a:extLst>
        </xdr:cNvPr>
        <xdr:cNvSpPr txBox="1"/>
      </xdr:nvSpPr>
      <xdr:spPr>
        <a:xfrm>
          <a:off x="749300" y="133350"/>
          <a:ext cx="21971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a:t>Hospital</a:t>
          </a:r>
          <a:r>
            <a:rPr lang="en-US" sz="1100" b="1"/>
            <a:t> Emergency </a:t>
          </a:r>
          <a:r>
            <a:rPr lang="en-US" sz="1200" b="1"/>
            <a:t>Room</a:t>
          </a:r>
          <a:r>
            <a:rPr lang="en-US" sz="1100" b="1"/>
            <a:t> Dashboard</a:t>
          </a:r>
        </a:p>
      </xdr:txBody>
    </xdr:sp>
    <xdr:clientData/>
  </xdr:twoCellAnchor>
  <xdr:twoCellAnchor editAs="oneCell">
    <xdr:from>
      <xdr:col>0</xdr:col>
      <xdr:colOff>95250</xdr:colOff>
      <xdr:row>0</xdr:row>
      <xdr:rowOff>88900</xdr:rowOff>
    </xdr:from>
    <xdr:to>
      <xdr:col>1</xdr:col>
      <xdr:colOff>139700</xdr:colOff>
      <xdr:row>3</xdr:row>
      <xdr:rowOff>114300</xdr:rowOff>
    </xdr:to>
    <xdr:pic>
      <xdr:nvPicPr>
        <xdr:cNvPr id="32" name="Picture 31">
          <a:extLst>
            <a:ext uri="{FF2B5EF4-FFF2-40B4-BE49-F238E27FC236}">
              <a16:creationId xmlns:a16="http://schemas.microsoft.com/office/drawing/2014/main" id="{172AA9AA-2416-8B8A-86F3-E56672C694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48" r="11812" b="8696"/>
        <a:stretch/>
      </xdr:blipFill>
      <xdr:spPr>
        <a:xfrm>
          <a:off x="95250" y="88900"/>
          <a:ext cx="654050" cy="577850"/>
        </a:xfrm>
        <a:prstGeom prst="rect">
          <a:avLst/>
        </a:prstGeom>
      </xdr:spPr>
    </xdr:pic>
    <xdr:clientData/>
  </xdr:twoCellAnchor>
  <xdr:twoCellAnchor editAs="absolute">
    <xdr:from>
      <xdr:col>1</xdr:col>
      <xdr:colOff>336550</xdr:colOff>
      <xdr:row>1</xdr:row>
      <xdr:rowOff>146050</xdr:rowOff>
    </xdr:from>
    <xdr:to>
      <xdr:col>3</xdr:col>
      <xdr:colOff>228600</xdr:colOff>
      <xdr:row>3</xdr:row>
      <xdr:rowOff>101600</xdr:rowOff>
    </xdr:to>
    <xdr:sp macro="" textlink="">
      <xdr:nvSpPr>
        <xdr:cNvPr id="33" name="TextBox 32">
          <a:extLst>
            <a:ext uri="{FF2B5EF4-FFF2-40B4-BE49-F238E27FC236}">
              <a16:creationId xmlns:a16="http://schemas.microsoft.com/office/drawing/2014/main" id="{4273D720-72B8-356E-9A6C-E9D44DD6DAC7}"/>
            </a:ext>
          </a:extLst>
        </xdr:cNvPr>
        <xdr:cNvSpPr txBox="1"/>
      </xdr:nvSpPr>
      <xdr:spPr>
        <a:xfrm>
          <a:off x="946150" y="330200"/>
          <a:ext cx="1111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a:t>Monthly</a:t>
          </a:r>
          <a:r>
            <a:rPr lang="en-US" sz="1100" baseline="0"/>
            <a:t> </a:t>
          </a:r>
          <a:r>
            <a:rPr lang="en-US" sz="1100" b="1" baseline="0"/>
            <a:t>Report</a:t>
          </a:r>
          <a:endParaRPr lang="en-US" sz="1100" b="1"/>
        </a:p>
      </xdr:txBody>
    </xdr:sp>
    <xdr:clientData/>
  </xdr:twoCellAnchor>
  <xdr:twoCellAnchor editAs="absolute">
    <xdr:from>
      <xdr:col>4</xdr:col>
      <xdr:colOff>63500</xdr:colOff>
      <xdr:row>6</xdr:row>
      <xdr:rowOff>139700</xdr:rowOff>
    </xdr:from>
    <xdr:to>
      <xdr:col>5</xdr:col>
      <xdr:colOff>393700</xdr:colOff>
      <xdr:row>7</xdr:row>
      <xdr:rowOff>76200</xdr:rowOff>
    </xdr:to>
    <xdr:sp macro="" textlink="">
      <xdr:nvSpPr>
        <xdr:cNvPr id="34" name="TextBox 33">
          <a:extLst>
            <a:ext uri="{FF2B5EF4-FFF2-40B4-BE49-F238E27FC236}">
              <a16:creationId xmlns:a16="http://schemas.microsoft.com/office/drawing/2014/main" id="{FF61D7BD-7BD6-9767-2044-092D9170F2F8}"/>
            </a:ext>
          </a:extLst>
        </xdr:cNvPr>
        <xdr:cNvSpPr txBox="1"/>
      </xdr:nvSpPr>
      <xdr:spPr>
        <a:xfrm>
          <a:off x="2501900" y="1244600"/>
          <a:ext cx="939800" cy="120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Average</a:t>
          </a:r>
          <a:r>
            <a:rPr lang="en-US" sz="900" baseline="0"/>
            <a:t> Wait Time</a:t>
          </a:r>
          <a:endParaRPr lang="en-US" sz="900"/>
        </a:p>
      </xdr:txBody>
    </xdr:sp>
    <xdr:clientData/>
  </xdr:twoCellAnchor>
  <xdr:twoCellAnchor editAs="absolute">
    <xdr:from>
      <xdr:col>3</xdr:col>
      <xdr:colOff>596900</xdr:colOff>
      <xdr:row>5</xdr:row>
      <xdr:rowOff>107950</xdr:rowOff>
    </xdr:from>
    <xdr:to>
      <xdr:col>5</xdr:col>
      <xdr:colOff>285750</xdr:colOff>
      <xdr:row>6</xdr:row>
      <xdr:rowOff>114300</xdr:rowOff>
    </xdr:to>
    <xdr:sp macro="" textlink="'Pivot Report'!B8">
      <xdr:nvSpPr>
        <xdr:cNvPr id="36" name="TextBox 35">
          <a:extLst>
            <a:ext uri="{FF2B5EF4-FFF2-40B4-BE49-F238E27FC236}">
              <a16:creationId xmlns:a16="http://schemas.microsoft.com/office/drawing/2014/main" id="{2F9BF7FF-947D-9FD5-6E65-087C107A67B1}"/>
            </a:ext>
          </a:extLst>
        </xdr:cNvPr>
        <xdr:cNvSpPr txBox="1"/>
      </xdr:nvSpPr>
      <xdr:spPr>
        <a:xfrm>
          <a:off x="2425700" y="1028700"/>
          <a:ext cx="9080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3D4C180-99DC-4CD3-B4D6-84BD22E7BC97}" type="TxLink">
            <a:rPr lang="en-US" sz="1100" b="0" i="0" u="none" strike="noStrike">
              <a:solidFill>
                <a:srgbClr val="000000"/>
              </a:solidFill>
              <a:latin typeface="Aptos Narrow"/>
            </a:rPr>
            <a:pPr algn="ctr"/>
            <a:t>34.88</a:t>
          </a:fld>
          <a:endParaRPr lang="en-US" sz="1100"/>
        </a:p>
      </xdr:txBody>
    </xdr:sp>
    <xdr:clientData/>
  </xdr:twoCellAnchor>
  <xdr:twoCellAnchor editAs="absolute">
    <xdr:from>
      <xdr:col>6</xdr:col>
      <xdr:colOff>12700</xdr:colOff>
      <xdr:row>6</xdr:row>
      <xdr:rowOff>146050</xdr:rowOff>
    </xdr:from>
    <xdr:to>
      <xdr:col>7</xdr:col>
      <xdr:colOff>469900</xdr:colOff>
      <xdr:row>7</xdr:row>
      <xdr:rowOff>127000</xdr:rowOff>
    </xdr:to>
    <xdr:sp macro="" textlink="">
      <xdr:nvSpPr>
        <xdr:cNvPr id="39" name="TextBox 38">
          <a:extLst>
            <a:ext uri="{FF2B5EF4-FFF2-40B4-BE49-F238E27FC236}">
              <a16:creationId xmlns:a16="http://schemas.microsoft.com/office/drawing/2014/main" id="{07600316-271F-4516-DA3C-AA03A11CAC26}"/>
            </a:ext>
          </a:extLst>
        </xdr:cNvPr>
        <xdr:cNvSpPr txBox="1"/>
      </xdr:nvSpPr>
      <xdr:spPr>
        <a:xfrm>
          <a:off x="3670300" y="1250950"/>
          <a:ext cx="10668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t>Patient Satisfaction</a:t>
          </a:r>
          <a:r>
            <a:rPr lang="en-US" sz="800" baseline="0"/>
            <a:t> Score</a:t>
          </a:r>
          <a:endParaRPr lang="en-US" sz="800"/>
        </a:p>
      </xdr:txBody>
    </xdr:sp>
    <xdr:clientData/>
  </xdr:twoCellAnchor>
  <xdr:twoCellAnchor editAs="absolute">
    <xdr:from>
      <xdr:col>6</xdr:col>
      <xdr:colOff>273050</xdr:colOff>
      <xdr:row>5</xdr:row>
      <xdr:rowOff>152400</xdr:rowOff>
    </xdr:from>
    <xdr:to>
      <xdr:col>6</xdr:col>
      <xdr:colOff>533400</xdr:colOff>
      <xdr:row>6</xdr:row>
      <xdr:rowOff>127000</xdr:rowOff>
    </xdr:to>
    <xdr:sp macro="" textlink="'Pivot Report'!B12">
      <xdr:nvSpPr>
        <xdr:cNvPr id="40" name="TextBox 39">
          <a:extLst>
            <a:ext uri="{FF2B5EF4-FFF2-40B4-BE49-F238E27FC236}">
              <a16:creationId xmlns:a16="http://schemas.microsoft.com/office/drawing/2014/main" id="{DA4B4C49-563B-80F0-32E0-2A8F86E60D1B}"/>
            </a:ext>
          </a:extLst>
        </xdr:cNvPr>
        <xdr:cNvSpPr txBox="1"/>
      </xdr:nvSpPr>
      <xdr:spPr>
        <a:xfrm>
          <a:off x="3930650" y="1073150"/>
          <a:ext cx="260350"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F09744C-3198-4F75-9EDE-440B88659118}" type="TxLink">
            <a:rPr lang="en-US" sz="1100" b="0" i="0" u="none" strike="noStrike">
              <a:solidFill>
                <a:srgbClr val="000000"/>
              </a:solidFill>
              <a:latin typeface="Aptos Narrow"/>
            </a:rPr>
            <a:pPr algn="ctr"/>
            <a:t>5.30</a:t>
          </a:fld>
          <a:endParaRPr lang="en-US" sz="1100"/>
        </a:p>
      </xdr:txBody>
    </xdr:sp>
    <xdr:clientData/>
  </xdr:twoCellAnchor>
  <xdr:twoCellAnchor editAs="oneCell">
    <xdr:from>
      <xdr:col>2</xdr:col>
      <xdr:colOff>12700</xdr:colOff>
      <xdr:row>3</xdr:row>
      <xdr:rowOff>177800</xdr:rowOff>
    </xdr:from>
    <xdr:to>
      <xdr:col>3</xdr:col>
      <xdr:colOff>603250</xdr:colOff>
      <xdr:row>9</xdr:row>
      <xdr:rowOff>19700</xdr:rowOff>
    </xdr:to>
    <xdr:grpSp>
      <xdr:nvGrpSpPr>
        <xdr:cNvPr id="13" name="Group 12">
          <a:extLst>
            <a:ext uri="{FF2B5EF4-FFF2-40B4-BE49-F238E27FC236}">
              <a16:creationId xmlns:a16="http://schemas.microsoft.com/office/drawing/2014/main" id="{B892C9F6-50F2-3A0C-E720-C57FAC5878EF}"/>
            </a:ext>
          </a:extLst>
        </xdr:cNvPr>
        <xdr:cNvGrpSpPr/>
      </xdr:nvGrpSpPr>
      <xdr:grpSpPr>
        <a:xfrm>
          <a:off x="1231900" y="730250"/>
          <a:ext cx="1200150" cy="946800"/>
          <a:chOff x="1200150" y="908049"/>
          <a:chExt cx="1218805" cy="889000"/>
        </a:xfrm>
      </xdr:grpSpPr>
      <xdr:sp macro="" textlink="">
        <xdr:nvSpPr>
          <xdr:cNvPr id="6" name="Rectangle: Rounded Corners 5">
            <a:extLst>
              <a:ext uri="{FF2B5EF4-FFF2-40B4-BE49-F238E27FC236}">
                <a16:creationId xmlns:a16="http://schemas.microsoft.com/office/drawing/2014/main" id="{790C50D5-5109-0B72-FEAC-01993BCF8E15}"/>
              </a:ext>
            </a:extLst>
          </xdr:cNvPr>
          <xdr:cNvSpPr/>
        </xdr:nvSpPr>
        <xdr:spPr>
          <a:xfrm>
            <a:off x="1200150" y="908049"/>
            <a:ext cx="1167594" cy="889000"/>
          </a:xfrm>
          <a:prstGeom prst="roundRect">
            <a:avLst>
              <a:gd name="adj" fmla="val 43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 name="Group 8">
            <a:extLst>
              <a:ext uri="{FF2B5EF4-FFF2-40B4-BE49-F238E27FC236}">
                <a16:creationId xmlns:a16="http://schemas.microsoft.com/office/drawing/2014/main" id="{9DD97C22-B623-1465-08B7-731FDD1DDB8B}"/>
              </a:ext>
            </a:extLst>
          </xdr:cNvPr>
          <xdr:cNvGrpSpPr/>
        </xdr:nvGrpSpPr>
        <xdr:grpSpPr>
          <a:xfrm>
            <a:off x="1257399" y="1052309"/>
            <a:ext cx="1161556" cy="590550"/>
            <a:chOff x="1257399" y="1052309"/>
            <a:chExt cx="1161556" cy="590550"/>
          </a:xfrm>
        </xdr:grpSpPr>
        <xdr:sp macro="" textlink="">
          <xdr:nvSpPr>
            <xdr:cNvPr id="37" name="TextBox 36">
              <a:extLst>
                <a:ext uri="{FF2B5EF4-FFF2-40B4-BE49-F238E27FC236}">
                  <a16:creationId xmlns:a16="http://schemas.microsoft.com/office/drawing/2014/main" id="{CC362398-6D61-9A5A-F196-1A58CD5BC85A}"/>
                </a:ext>
              </a:extLst>
            </xdr:cNvPr>
            <xdr:cNvSpPr txBox="1"/>
          </xdr:nvSpPr>
          <xdr:spPr>
            <a:xfrm>
              <a:off x="1441055" y="1363459"/>
              <a:ext cx="9779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No.of</a:t>
              </a:r>
              <a:r>
                <a:rPr lang="en-US" sz="900" baseline="0"/>
                <a:t> Patient</a:t>
              </a:r>
              <a:endParaRPr lang="en-US" sz="900"/>
            </a:p>
          </xdr:txBody>
        </xdr:sp>
        <xdr:sp macro="" textlink="'Pivot Report'!B4">
          <xdr:nvSpPr>
            <xdr:cNvPr id="38" name="TextBox 37">
              <a:extLst>
                <a:ext uri="{FF2B5EF4-FFF2-40B4-BE49-F238E27FC236}">
                  <a16:creationId xmlns:a16="http://schemas.microsoft.com/office/drawing/2014/main" id="{D0EC9B93-640C-ACB4-56F4-D52EC62BB72D}"/>
                </a:ext>
              </a:extLst>
            </xdr:cNvPr>
            <xdr:cNvSpPr txBox="1"/>
          </xdr:nvSpPr>
          <xdr:spPr>
            <a:xfrm>
              <a:off x="1682651" y="1190071"/>
              <a:ext cx="5588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D72A1F0-9C7D-4061-A09A-E9A7C328EA61}" type="TxLink">
                <a:rPr lang="en-US" sz="1100" b="0" i="0" u="none" strike="noStrike">
                  <a:solidFill>
                    <a:srgbClr val="000000"/>
                  </a:solidFill>
                  <a:latin typeface="Aptos Narrow"/>
                </a:rPr>
                <a:pPr algn="ctr"/>
                <a:t>476</a:t>
              </a:fld>
              <a:endParaRPr lang="en-US" sz="1100"/>
            </a:p>
          </xdr:txBody>
        </xdr:sp>
        <xdr:pic>
          <xdr:nvPicPr>
            <xdr:cNvPr id="42" name="Graphic 41" descr="Man with solid fill">
              <a:extLst>
                <a:ext uri="{FF2B5EF4-FFF2-40B4-BE49-F238E27FC236}">
                  <a16:creationId xmlns:a16="http://schemas.microsoft.com/office/drawing/2014/main" id="{4D0BB46F-0D3F-9C48-C178-232B9FAEE4B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57399" y="1052309"/>
              <a:ext cx="317500" cy="590550"/>
            </a:xfrm>
            <a:prstGeom prst="rect">
              <a:avLst/>
            </a:prstGeom>
          </xdr:spPr>
        </xdr:pic>
      </xdr:grpSp>
    </xdr:grpSp>
    <xdr:clientData/>
  </xdr:twoCellAnchor>
  <xdr:twoCellAnchor editAs="oneCell">
    <xdr:from>
      <xdr:col>7</xdr:col>
      <xdr:colOff>0</xdr:colOff>
      <xdr:row>4</xdr:row>
      <xdr:rowOff>25400</xdr:rowOff>
    </xdr:from>
    <xdr:to>
      <xdr:col>7</xdr:col>
      <xdr:colOff>571500</xdr:colOff>
      <xdr:row>6</xdr:row>
      <xdr:rowOff>101600</xdr:rowOff>
    </xdr:to>
    <xdr:pic>
      <xdr:nvPicPr>
        <xdr:cNvPr id="44" name="Graphic 43" descr="Boardroom with solid fill">
          <a:extLst>
            <a:ext uri="{FF2B5EF4-FFF2-40B4-BE49-F238E27FC236}">
              <a16:creationId xmlns:a16="http://schemas.microsoft.com/office/drawing/2014/main" id="{CBA7ADCB-C509-0773-8FD0-982AF1313E0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67200" y="762000"/>
          <a:ext cx="571500" cy="444500"/>
        </a:xfrm>
        <a:prstGeom prst="rect">
          <a:avLst/>
        </a:prstGeom>
      </xdr:spPr>
    </xdr:pic>
    <xdr:clientData/>
  </xdr:twoCellAnchor>
  <xdr:twoCellAnchor editAs="oneCell">
    <xdr:from>
      <xdr:col>5</xdr:col>
      <xdr:colOff>260350</xdr:colOff>
      <xdr:row>4</xdr:row>
      <xdr:rowOff>44451</xdr:rowOff>
    </xdr:from>
    <xdr:to>
      <xdr:col>5</xdr:col>
      <xdr:colOff>596900</xdr:colOff>
      <xdr:row>5</xdr:row>
      <xdr:rowOff>114301</xdr:rowOff>
    </xdr:to>
    <xdr:pic>
      <xdr:nvPicPr>
        <xdr:cNvPr id="46" name="Graphic 45" descr="Hourglass Finished with solid fill">
          <a:extLst>
            <a:ext uri="{FF2B5EF4-FFF2-40B4-BE49-F238E27FC236}">
              <a16:creationId xmlns:a16="http://schemas.microsoft.com/office/drawing/2014/main" id="{4E60B28B-C877-C26E-0FB9-DBA81CD90B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08350" y="781051"/>
          <a:ext cx="336550" cy="254000"/>
        </a:xfrm>
        <a:prstGeom prst="rect">
          <a:avLst/>
        </a:prstGeom>
      </xdr:spPr>
    </xdr:pic>
    <xdr:clientData/>
  </xdr:twoCellAnchor>
  <xdr:twoCellAnchor editAs="oneCell">
    <xdr:from>
      <xdr:col>0</xdr:col>
      <xdr:colOff>146050</xdr:colOff>
      <xdr:row>4</xdr:row>
      <xdr:rowOff>101600</xdr:rowOff>
    </xdr:from>
    <xdr:to>
      <xdr:col>1</xdr:col>
      <xdr:colOff>501650</xdr:colOff>
      <xdr:row>21</xdr:row>
      <xdr:rowOff>88900</xdr:rowOff>
    </xdr:to>
    <mc:AlternateContent xmlns:mc="http://schemas.openxmlformats.org/markup-compatibility/2006">
      <mc:Choice xmlns:a14="http://schemas.microsoft.com/office/drawing/2010/main" Requires="a14">
        <xdr:graphicFrame macro="">
          <xdr:nvGraphicFramePr>
            <xdr:cNvPr id="8" name="Date (Month)">
              <a:extLst>
                <a:ext uri="{FF2B5EF4-FFF2-40B4-BE49-F238E27FC236}">
                  <a16:creationId xmlns:a16="http://schemas.microsoft.com/office/drawing/2014/main" id="{E68ECF59-F376-4E15-8716-DE04058DB38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46050" y="838200"/>
              <a:ext cx="965200" cy="311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6</xdr:row>
      <xdr:rowOff>171450</xdr:rowOff>
    </xdr:from>
    <xdr:to>
      <xdr:col>3</xdr:col>
      <xdr:colOff>533400</xdr:colOff>
      <xdr:row>9</xdr:row>
      <xdr:rowOff>25400</xdr:rowOff>
    </xdr:to>
    <xdr:graphicFrame macro="">
      <xdr:nvGraphicFramePr>
        <xdr:cNvPr id="14" name="Chart 13">
          <a:hlinkClick xmlns:r="http://schemas.openxmlformats.org/officeDocument/2006/relationships" r:id="rId8"/>
          <a:extLst>
            <a:ext uri="{FF2B5EF4-FFF2-40B4-BE49-F238E27FC236}">
              <a16:creationId xmlns:a16="http://schemas.microsoft.com/office/drawing/2014/main" id="{AA804A36-04BA-D7AD-56FE-F39AA1EA2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596900</xdr:colOff>
      <xdr:row>7</xdr:row>
      <xdr:rowOff>101600</xdr:rowOff>
    </xdr:from>
    <xdr:to>
      <xdr:col>5</xdr:col>
      <xdr:colOff>596900</xdr:colOff>
      <xdr:row>9</xdr:row>
      <xdr:rowOff>31750</xdr:rowOff>
    </xdr:to>
    <xdr:graphicFrame macro="">
      <xdr:nvGraphicFramePr>
        <xdr:cNvPr id="15" name="Chart 14">
          <a:hlinkClick xmlns:r="http://schemas.openxmlformats.org/officeDocument/2006/relationships" r:id="rId10"/>
          <a:extLst>
            <a:ext uri="{FF2B5EF4-FFF2-40B4-BE49-F238E27FC236}">
              <a16:creationId xmlns:a16="http://schemas.microsoft.com/office/drawing/2014/main" id="{C033A90F-3417-41E5-AE9F-F6BEC31B2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603250</xdr:colOff>
      <xdr:row>7</xdr:row>
      <xdr:rowOff>82550</xdr:rowOff>
    </xdr:from>
    <xdr:to>
      <xdr:col>7</xdr:col>
      <xdr:colOff>590550</xdr:colOff>
      <xdr:row>9</xdr:row>
      <xdr:rowOff>44450</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A2AF4FBA-F89D-49DF-AAAF-9AC47CC8C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577850</xdr:colOff>
      <xdr:row>14</xdr:row>
      <xdr:rowOff>38101</xdr:rowOff>
    </xdr:from>
    <xdr:to>
      <xdr:col>7</xdr:col>
      <xdr:colOff>444500</xdr:colOff>
      <xdr:row>21</xdr:row>
      <xdr:rowOff>114300</xdr:rowOff>
    </xdr:to>
    <xdr:graphicFrame macro="">
      <xdr:nvGraphicFramePr>
        <xdr:cNvPr id="23" name="Chart 22">
          <a:extLst>
            <a:ext uri="{FF2B5EF4-FFF2-40B4-BE49-F238E27FC236}">
              <a16:creationId xmlns:a16="http://schemas.microsoft.com/office/drawing/2014/main" id="{EFC12B26-636D-4C16-8113-5FCA55046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438150</xdr:colOff>
      <xdr:row>20</xdr:row>
      <xdr:rowOff>120650</xdr:rowOff>
    </xdr:from>
    <xdr:to>
      <xdr:col>5</xdr:col>
      <xdr:colOff>514350</xdr:colOff>
      <xdr:row>21</xdr:row>
      <xdr:rowOff>114300</xdr:rowOff>
    </xdr:to>
    <xdr:sp macro="" textlink="">
      <xdr:nvSpPr>
        <xdr:cNvPr id="25" name="TextBox 24">
          <a:extLst>
            <a:ext uri="{FF2B5EF4-FFF2-40B4-BE49-F238E27FC236}">
              <a16:creationId xmlns:a16="http://schemas.microsoft.com/office/drawing/2014/main" id="{F8E238BB-10B7-4220-A073-F76F562E3993}"/>
            </a:ext>
          </a:extLst>
        </xdr:cNvPr>
        <xdr:cNvSpPr txBox="1"/>
      </xdr:nvSpPr>
      <xdr:spPr>
        <a:xfrm>
          <a:off x="2266950" y="3816350"/>
          <a:ext cx="12954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a:t>No.of</a:t>
          </a:r>
          <a:r>
            <a:rPr lang="en-US" sz="900" b="1" baseline="0"/>
            <a:t> Patient by Age Group</a:t>
          </a:r>
          <a:endParaRPr lang="en-US" sz="900" b="1"/>
        </a:p>
      </xdr:txBody>
    </xdr:sp>
    <xdr:clientData/>
  </xdr:twoCellAnchor>
  <xdr:twoCellAnchor>
    <xdr:from>
      <xdr:col>8</xdr:col>
      <xdr:colOff>25400</xdr:colOff>
      <xdr:row>0</xdr:row>
      <xdr:rowOff>50800</xdr:rowOff>
    </xdr:from>
    <xdr:to>
      <xdr:col>10</xdr:col>
      <xdr:colOff>381000</xdr:colOff>
      <xdr:row>6</xdr:row>
      <xdr:rowOff>165100</xdr:rowOff>
    </xdr:to>
    <xdr:graphicFrame macro="">
      <xdr:nvGraphicFramePr>
        <xdr:cNvPr id="26" name="Chart 25">
          <a:extLst>
            <a:ext uri="{FF2B5EF4-FFF2-40B4-BE49-F238E27FC236}">
              <a16:creationId xmlns:a16="http://schemas.microsoft.com/office/drawing/2014/main" id="{4BB9BF4C-4490-46AB-AE7B-2013F9147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260350</xdr:colOff>
      <xdr:row>6</xdr:row>
      <xdr:rowOff>146050</xdr:rowOff>
    </xdr:from>
    <xdr:to>
      <xdr:col>10</xdr:col>
      <xdr:colOff>146050</xdr:colOff>
      <xdr:row>7</xdr:row>
      <xdr:rowOff>139700</xdr:rowOff>
    </xdr:to>
    <xdr:sp macro="" textlink="">
      <xdr:nvSpPr>
        <xdr:cNvPr id="28" name="TextBox 27">
          <a:extLst>
            <a:ext uri="{FF2B5EF4-FFF2-40B4-BE49-F238E27FC236}">
              <a16:creationId xmlns:a16="http://schemas.microsoft.com/office/drawing/2014/main" id="{2877F307-7091-42BA-B2DC-C3AEA12A1D8B}"/>
            </a:ext>
          </a:extLst>
        </xdr:cNvPr>
        <xdr:cNvSpPr txBox="1"/>
      </xdr:nvSpPr>
      <xdr:spPr>
        <a:xfrm>
          <a:off x="5137150" y="1250950"/>
          <a:ext cx="11049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aseline="0"/>
            <a:t> </a:t>
          </a:r>
          <a:r>
            <a:rPr lang="en-US" sz="900" b="1" baseline="0"/>
            <a:t>Patient Attend Status</a:t>
          </a:r>
          <a:endParaRPr lang="en-US" sz="900" b="1"/>
        </a:p>
      </xdr:txBody>
    </xdr:sp>
    <xdr:clientData/>
  </xdr:twoCellAnchor>
  <xdr:twoCellAnchor>
    <xdr:from>
      <xdr:col>10</xdr:col>
      <xdr:colOff>546100</xdr:colOff>
      <xdr:row>0</xdr:row>
      <xdr:rowOff>44450</xdr:rowOff>
    </xdr:from>
    <xdr:to>
      <xdr:col>13</xdr:col>
      <xdr:colOff>292098</xdr:colOff>
      <xdr:row>7</xdr:row>
      <xdr:rowOff>165100</xdr:rowOff>
    </xdr:to>
    <xdr:grpSp>
      <xdr:nvGrpSpPr>
        <xdr:cNvPr id="27" name="Group 26">
          <a:extLst>
            <a:ext uri="{FF2B5EF4-FFF2-40B4-BE49-F238E27FC236}">
              <a16:creationId xmlns:a16="http://schemas.microsoft.com/office/drawing/2014/main" id="{85533E38-F0E5-F930-3669-4673ACAF00AA}"/>
            </a:ext>
          </a:extLst>
        </xdr:cNvPr>
        <xdr:cNvGrpSpPr/>
      </xdr:nvGrpSpPr>
      <xdr:grpSpPr>
        <a:xfrm>
          <a:off x="6642100" y="44450"/>
          <a:ext cx="1574798" cy="1409700"/>
          <a:chOff x="6672847" y="6350"/>
          <a:chExt cx="1582153" cy="1409700"/>
        </a:xfrm>
      </xdr:grpSpPr>
      <xdr:graphicFrame macro="">
        <xdr:nvGraphicFramePr>
          <xdr:cNvPr id="31" name="Chart 30">
            <a:extLst>
              <a:ext uri="{FF2B5EF4-FFF2-40B4-BE49-F238E27FC236}">
                <a16:creationId xmlns:a16="http://schemas.microsoft.com/office/drawing/2014/main" id="{6C7C25EF-8A86-418F-86CD-CD9DB5C14549}"/>
              </a:ext>
            </a:extLst>
          </xdr:cNvPr>
          <xdr:cNvGraphicFramePr>
            <a:graphicFrameLocks/>
          </xdr:cNvGraphicFramePr>
        </xdr:nvGraphicFramePr>
        <xdr:xfrm>
          <a:off x="6672847" y="6350"/>
          <a:ext cx="1582153" cy="131445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41" name="TextBox 40">
            <a:extLst>
              <a:ext uri="{FF2B5EF4-FFF2-40B4-BE49-F238E27FC236}">
                <a16:creationId xmlns:a16="http://schemas.microsoft.com/office/drawing/2014/main" id="{CFE44554-8586-4633-900B-7428843AABD2}"/>
              </a:ext>
            </a:extLst>
          </xdr:cNvPr>
          <xdr:cNvSpPr txBox="1"/>
        </xdr:nvSpPr>
        <xdr:spPr>
          <a:xfrm>
            <a:off x="6883400" y="1238250"/>
            <a:ext cx="11049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baseline="0"/>
              <a:t>Gender Wise report</a:t>
            </a:r>
            <a:endParaRPr lang="en-US" sz="900" b="1"/>
          </a:p>
        </xdr:txBody>
      </xdr:sp>
    </xdr:grpSp>
    <xdr:clientData/>
  </xdr:twoCellAnchor>
  <xdr:twoCellAnchor>
    <xdr:from>
      <xdr:col>8</xdr:col>
      <xdr:colOff>25400</xdr:colOff>
      <xdr:row>8</xdr:row>
      <xdr:rowOff>44450</xdr:rowOff>
    </xdr:from>
    <xdr:to>
      <xdr:col>13</xdr:col>
      <xdr:colOff>260350</xdr:colOff>
      <xdr:row>20</xdr:row>
      <xdr:rowOff>69850</xdr:rowOff>
    </xdr:to>
    <xdr:graphicFrame macro="">
      <xdr:nvGraphicFramePr>
        <xdr:cNvPr id="43" name="Chart 42">
          <a:extLst>
            <a:ext uri="{FF2B5EF4-FFF2-40B4-BE49-F238E27FC236}">
              <a16:creationId xmlns:a16="http://schemas.microsoft.com/office/drawing/2014/main" id="{3CC9528F-FB89-41F0-BA4A-62B33BF4E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304800</xdr:colOff>
      <xdr:row>20</xdr:row>
      <xdr:rowOff>57150</xdr:rowOff>
    </xdr:from>
    <xdr:to>
      <xdr:col>12</xdr:col>
      <xdr:colOff>349250</xdr:colOff>
      <xdr:row>21</xdr:row>
      <xdr:rowOff>127000</xdr:rowOff>
    </xdr:to>
    <xdr:sp macro="" textlink="">
      <xdr:nvSpPr>
        <xdr:cNvPr id="45" name="TextBox 44">
          <a:extLst>
            <a:ext uri="{FF2B5EF4-FFF2-40B4-BE49-F238E27FC236}">
              <a16:creationId xmlns:a16="http://schemas.microsoft.com/office/drawing/2014/main" id="{B3A65CC0-32F1-456D-9FC8-88AF0582D756}"/>
            </a:ext>
          </a:extLst>
        </xdr:cNvPr>
        <xdr:cNvSpPr txBox="1"/>
      </xdr:nvSpPr>
      <xdr:spPr>
        <a:xfrm>
          <a:off x="5791200" y="3752850"/>
          <a:ext cx="18732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baseline="0"/>
            <a:t>No.of Patient by department Referral</a:t>
          </a:r>
          <a:endParaRPr lang="en-US" sz="900" b="1"/>
        </a:p>
      </xdr:txBody>
    </xdr:sp>
    <xdr:clientData/>
  </xdr:twoCellAnchor>
  <xdr:twoCellAnchor editAs="oneCell">
    <xdr:from>
      <xdr:col>5</xdr:col>
      <xdr:colOff>165100</xdr:colOff>
      <xdr:row>0</xdr:row>
      <xdr:rowOff>139700</xdr:rowOff>
    </xdr:from>
    <xdr:to>
      <xdr:col>7</xdr:col>
      <xdr:colOff>361950</xdr:colOff>
      <xdr:row>3</xdr:row>
      <xdr:rowOff>114300</xdr:rowOff>
    </xdr:to>
    <mc:AlternateContent xmlns:mc="http://schemas.openxmlformats.org/markup-compatibility/2006">
      <mc:Choice xmlns:a14="http://schemas.microsoft.com/office/drawing/2010/main" Requires="a14">
        <xdr:graphicFrame macro="">
          <xdr:nvGraphicFramePr>
            <xdr:cNvPr id="47" name="Date (Year)">
              <a:extLst>
                <a:ext uri="{FF2B5EF4-FFF2-40B4-BE49-F238E27FC236}">
                  <a16:creationId xmlns:a16="http://schemas.microsoft.com/office/drawing/2014/main" id="{37AF81F7-8F61-458F-B894-B6C5962C09F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13100" y="139700"/>
              <a:ext cx="1416050" cy="52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590550</xdr:colOff>
      <xdr:row>9</xdr:row>
      <xdr:rowOff>88901</xdr:rowOff>
    </xdr:from>
    <xdr:to>
      <xdr:col>7</xdr:col>
      <xdr:colOff>577850</xdr:colOff>
      <xdr:row>13</xdr:row>
      <xdr:rowOff>107950</xdr:rowOff>
    </xdr:to>
    <xdr:pic>
      <xdr:nvPicPr>
        <xdr:cNvPr id="52" name="Picture 51">
          <a:extLst>
            <a:ext uri="{FF2B5EF4-FFF2-40B4-BE49-F238E27FC236}">
              <a16:creationId xmlns:a16="http://schemas.microsoft.com/office/drawing/2014/main" id="{15452FB4-E459-063D-7124-D4F48F4410D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00150" y="1746251"/>
          <a:ext cx="3644900" cy="755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101600</xdr:colOff>
      <xdr:row>1</xdr:row>
      <xdr:rowOff>19050</xdr:rowOff>
    </xdr:from>
    <xdr:to>
      <xdr:col>13</xdr:col>
      <xdr:colOff>69850</xdr:colOff>
      <xdr:row>16</xdr:row>
      <xdr:rowOff>57150</xdr:rowOff>
    </xdr:to>
    <xdr:graphicFrame macro="">
      <xdr:nvGraphicFramePr>
        <xdr:cNvPr id="2" name="Chart 1">
          <a:extLst>
            <a:ext uri="{FF2B5EF4-FFF2-40B4-BE49-F238E27FC236}">
              <a16:creationId xmlns:a16="http://schemas.microsoft.com/office/drawing/2014/main" id="{864D5EF4-65DE-423C-9E6E-DCF522F23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0.00644</cdr:x>
      <cdr:y>0.01713</cdr:y>
    </cdr:from>
    <cdr:to>
      <cdr:x>0.0539</cdr:x>
      <cdr:y>0.14512</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79279BD-341B-1FBA-882D-8C910AF3CBD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47972"/>
          <a:ext cx="374650" cy="358428"/>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146050</xdr:colOff>
      <xdr:row>0</xdr:row>
      <xdr:rowOff>120650</xdr:rowOff>
    </xdr:from>
    <xdr:to>
      <xdr:col>9</xdr:col>
      <xdr:colOff>495300</xdr:colOff>
      <xdr:row>11</xdr:row>
      <xdr:rowOff>101600</xdr:rowOff>
    </xdr:to>
    <xdr:graphicFrame macro="">
      <xdr:nvGraphicFramePr>
        <xdr:cNvPr id="2" name="Chart 1">
          <a:extLst>
            <a:ext uri="{FF2B5EF4-FFF2-40B4-BE49-F238E27FC236}">
              <a16:creationId xmlns:a16="http://schemas.microsoft.com/office/drawing/2014/main" id="{6A20956C-CBC8-4B59-A878-60BC8B71E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184150</xdr:colOff>
      <xdr:row>0</xdr:row>
      <xdr:rowOff>95250</xdr:rowOff>
    </xdr:from>
    <xdr:to>
      <xdr:col>0</xdr:col>
      <xdr:colOff>590550</xdr:colOff>
      <xdr:row>2</xdr:row>
      <xdr:rowOff>76200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D217272-55F6-FD92-6445-6672FCFE76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4150" y="95250"/>
          <a:ext cx="406400" cy="3492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158750</xdr:colOff>
      <xdr:row>0</xdr:row>
      <xdr:rowOff>63500</xdr:rowOff>
    </xdr:from>
    <xdr:to>
      <xdr:col>13</xdr:col>
      <xdr:colOff>127000</xdr:colOff>
      <xdr:row>15</xdr:row>
      <xdr:rowOff>133350</xdr:rowOff>
    </xdr:to>
    <xdr:graphicFrame macro="">
      <xdr:nvGraphicFramePr>
        <xdr:cNvPr id="3" name="Chart 2">
          <a:extLst>
            <a:ext uri="{FF2B5EF4-FFF2-40B4-BE49-F238E27FC236}">
              <a16:creationId xmlns:a16="http://schemas.microsoft.com/office/drawing/2014/main" id="{A0915B43-8808-45BB-A719-463B42BE2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0.01368</cdr:x>
      <cdr:y>0</cdr:y>
    </cdr:from>
    <cdr:to>
      <cdr:x>0.0708</cdr:x>
      <cdr:y>0.14798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BAFE376-3677-1DA8-3377-750BF4E19F5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7950" y="0"/>
          <a:ext cx="450850" cy="4191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77199077" createdVersion="5" refreshedVersion="8" minRefreshableVersion="3" recordCount="0" supportSubquery="1" supportAdvancedDrill="1" xr:uid="{85FE1A68-D5D0-4EAB-A255-0C1F55C453D8}">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2">
        <s v="1-Apr"/>
        <s v="2-Apr"/>
        <s v="3-Apr"/>
        <s v="4-Apr"/>
        <s v="5-Apr"/>
        <s v="6-Apr"/>
        <s v="7-Apr"/>
        <s v="8-Apr"/>
        <s v="9-Apr"/>
        <s v="10-Apr"/>
        <s v="11-Apr"/>
        <s v="12-Apr"/>
        <s v="13-Apr"/>
        <s v="14-Apr"/>
        <s v="15-Apr"/>
        <s v="16-Apr"/>
        <s v="17-Apr"/>
        <s v="18-Apr"/>
        <s v="19-Apr"/>
        <s v="20-Apr"/>
        <s v="21-Apr"/>
        <s v="22-Apr"/>
        <s v="23-Apr"/>
        <s v="24-Apr"/>
        <s v="25-Apr"/>
        <s v="26-Apr"/>
        <s v="27-Apr"/>
        <s v="28-Apr"/>
        <s v="29-Apr"/>
        <s v="30-Apr"/>
        <s v="7-Jan" u="1"/>
        <s v="8-Jan"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79282409" createdVersion="5" refreshedVersion="8" minRefreshableVersion="3" recordCount="0" supportSubquery="1" supportAdvancedDrill="1" xr:uid="{A9931AF4-4AC5-40C9-AA06-8CD9D0D0E3D3}">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81712965" createdVersion="5" refreshedVersion="8" minRefreshableVersion="3" recordCount="0" supportSubquery="1" supportAdvancedDrill="1" xr:uid="{ECC975B1-086F-4C6F-B64E-0D1A26DDD949}">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83217589" createdVersion="5" refreshedVersion="8" minRefreshableVersion="3" recordCount="0" supportSubquery="1" supportAdvancedDrill="1" xr:uid="{A8AE4906-1167-48C4-96FA-3DB47F557447}">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85879629" createdVersion="5" refreshedVersion="8" minRefreshableVersion="3" recordCount="0" supportSubquery="1" supportAdvancedDrill="1" xr:uid="{CFFB885D-DC54-44F4-BFE6-BC6D5B711AF2}">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90277778" createdVersion="5" refreshedVersion="8" minRefreshableVersion="3" recordCount="0" supportSubquery="1" supportAdvancedDrill="1" xr:uid="{C8EC4C81-5748-461D-96FE-A6642F5C3DF4}">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91319441" createdVersion="5" refreshedVersion="8" minRefreshableVersion="3" recordCount="0" supportSubquery="1" supportAdvancedDrill="1" xr:uid="{6D22B3FC-8D6C-48C2-A437-22D3F1C6099B}">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91898149" createdVersion="5" refreshedVersion="8" minRefreshableVersion="3" recordCount="0" supportSubquery="1" supportAdvancedDrill="1" xr:uid="{B7794681-92BF-4EC4-8724-89F04ACDFEC0}">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Patient Age]" caption="Count of Patient Age"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92824073" createdVersion="5" refreshedVersion="8" minRefreshableVersion="3" recordCount="0" supportSubquery="1" supportAdvancedDrill="1" xr:uid="{794DC247-F8F0-4A47-A017-707C47AF59A1}">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9340278" createdVersion="5" refreshedVersion="8" minRefreshableVersion="3" recordCount="0" supportSubquery="1" supportAdvancedDrill="1" xr:uid="{2655E26A-6D86-4F52-9E4C-19E688CF007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7"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94444443" createdVersion="5" refreshedVersion="8" minRefreshableVersion="3" recordCount="0" supportSubquery="1" supportAdvancedDrill="1" xr:uid="{68A30637-46F0-4595-A030-5155741BD119}">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0"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603095023151" createdVersion="5" refreshedVersion="8" minRefreshableVersion="3" recordCount="0" supportSubquery="1" supportAdvancedDrill="1" xr:uid="{323327BC-1F5D-408C-9FF5-16B4861EE937}">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a Anosha" refreshedDate="46319.072559837965" createdVersion="3" refreshedVersion="8" minRefreshableVersion="3" recordCount="0" supportSubquery="1" supportAdvancedDrill="1" xr:uid="{D112566F-1AB6-4079-B0D3-C649FB3C1BEB}">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7371631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0B28F0-FE19-45D6-8E25-D6F7D718D033}" name="PivotTable11" cacheId="1017" applyNumberFormats="0" applyBorderFormats="0" applyFontFormats="0" applyPatternFormats="0" applyAlignmentFormats="0" applyWidthHeightFormats="1" dataCaption="Values" tag="66ed8e61-7354-441a-9fed-4c7235d3e73e" updatedVersion="8" minRefreshableVersion="3" subtotalHiddenItems="1" itemPrintTitles="1" createdVersion="5" indent="0" outline="1" outlineData="1" multipleFieldFilters="0" chartFormat="19">
  <location ref="I38:J4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caption="Average of Patient Age"/>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B55C61-A06F-4CDA-8EE1-BBB1D4FA7B24}" name="PivotTable5" cacheId="1008" applyNumberFormats="0" applyBorderFormats="0" applyFontFormats="0" applyPatternFormats="0" applyAlignmentFormats="0" applyWidthHeightFormats="1" dataCaption="Values" tag="bad8cc42-3328-44ea-85b3-e85f7bc98e93" updatedVersion="8" minRefreshableVersion="3" subtotalHiddenItems="1" itemPrintTitles="1" createdVersion="5" indent="0" outline="1" outlineData="1" multipleFieldFilters="0" chartFormat="4">
  <location ref="B15:D1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8">
      <pivotArea outline="0" collapsedLevelsAreSubtotals="1" fieldPosition="0"/>
    </format>
    <format dxfId="9">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AC07B-E3DB-46FA-B5E3-82CE47A89609}" name="PivotTable13" cacheId="1023" applyNumberFormats="0" applyBorderFormats="0" applyFontFormats="0" applyPatternFormats="0" applyAlignmentFormats="0" applyWidthHeightFormats="1" dataCaption="Values" tag="ed09a29f-3b36-4c51-8df3-0b3dd8c0d658" updatedVersion="8" minRefreshableVersion="3" subtotalHiddenItems="1" itemPrintTitles="1" createdVersion="5" indent="0" outline="1" outlineData="1" multipleFieldFilters="0" chartFormat="23">
  <location ref="O39:O4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items>
    </pivotField>
  </pivotFields>
  <rowFields count="4">
    <field x="3"/>
    <field x="2"/>
    <field x="0"/>
    <field x="1"/>
  </rowFields>
  <rowItems count="3">
    <i>
      <x/>
    </i>
    <i r="1">
      <x/>
    </i>
    <i t="grand">
      <x/>
    </i>
  </rowItems>
  <formats count="1">
    <format dxfId="3">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caption="Average of Patient Age"/>
    <pivotHierarchy dragToData="1" caption="Count of Patient Ag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F121D-0639-4222-9464-95EFE24594EA}" name="PivotTable1" cacheId="993" applyNumberFormats="0" applyBorderFormats="0" applyFontFormats="0" applyPatternFormats="0" applyAlignmentFormats="0" applyWidthHeightFormats="1" dataCaption="Values" tag="2f9c4365-c30c-4486-a14d-e675df469c0b"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0338D8-D7F9-48C9-850B-684688F675BB}" name="PivotTable8" cacheId="1002" applyNumberFormats="0" applyBorderFormats="0" applyFontFormats="0" applyPatternFormats="0" applyAlignmentFormats="0" applyWidthHeightFormats="1" dataCaption="Values" tag="93b298ad-875e-49db-94e0-163b0705fc59" updatedVersion="8" minRefreshableVersion="3" subtotalHiddenItems="1" itemPrintTitles="1" createdVersion="5" indent="0" outline="1" outlineData="1" multipleFieldFilters="0" chartFormat="18">
  <location ref="J3:K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1">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DA3D74-A379-4729-80D6-D2C74355E492}" name="PivotTable12" cacheId="1020" applyNumberFormats="0" applyBorderFormats="0" applyFontFormats="0" applyPatternFormats="0" applyAlignmentFormats="0" applyWidthHeightFormats="1" dataCaption="Values" tag="dc448c8f-9efa-4cdd-af88-dcab90b639ee" updatedVersion="8" minRefreshableVersion="3" subtotalHiddenItems="1" itemPrintTitles="1" createdVersion="5" indent="0" outline="1" outlineData="1" multipleFieldFilters="0" chartFormat="23">
  <location ref="L38:M4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4">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caption="Average of Patient Age"/>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012B90-62CF-4089-9BC5-A01AEFC0BDEB}" name="PivotTable7" cacheId="990" applyNumberFormats="0" applyBorderFormats="0" applyFontFormats="0" applyPatternFormats="0" applyAlignmentFormats="0" applyWidthHeightFormats="1" dataCaption="Values" tag="f8cba56b-0fbc-4d84-b30c-436c6821bb11" updatedVersion="8" minRefreshableVersion="3" subtotalHiddenItems="1" itemPrintTitles="1" createdVersion="5" indent="0" outline="1" outlineData="1" multipleFieldFilters="0" chartFormat="9">
  <location ref="E3:F34"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5"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31"/>
          </reference>
        </references>
      </pivotArea>
    </chartFormat>
    <chartFormat chart="7" format="5">
      <pivotArea type="data" outline="0" fieldPosition="0">
        <references count="2">
          <reference field="4294967294" count="1" selected="0">
            <x v="0"/>
          </reference>
          <reference field="1" count="1" selected="0">
            <x v="3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1F61D2-F331-40E1-B150-3F35A9D29869}" name="PivotTable10" cacheId="1014" applyNumberFormats="0" applyBorderFormats="0" applyFontFormats="0" applyPatternFormats="0" applyAlignmentFormats="0" applyWidthHeightFormats="1" dataCaption="Values" tag="5a539e5b-8ad2-4c91-8a74-b03bc45684b9" updatedVersion="8" minRefreshableVersion="3" subtotalHiddenItems="1" itemPrintTitles="1" createdVersion="5" indent="0" outline="1" outlineData="1" multipleFieldFilters="0" chartFormat="14">
  <location ref="E38:F4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6">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caption="Average of Patient Age"/>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3BA1AB-9DA1-4580-9011-26D42779EA66}" name="PivotTable3" cacheId="999" applyNumberFormats="0" applyBorderFormats="0" applyFontFormats="0" applyPatternFormats="0" applyAlignmentFormats="0" applyWidthHeightFormats="1" dataCaption="Values" tag="c6ae2dce-216a-401a-a5bb-e5169f59d555" updatedVersion="8" minRefreshableVersion="3"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8C2474-92FE-4FC4-B494-3017CF9A2F10}" name="PivotTable2" cacheId="996" applyNumberFormats="0" applyBorderFormats="0" applyFontFormats="0" applyPatternFormats="0" applyAlignmentFormats="0" applyWidthHeightFormats="1" dataCaption="Values" tag="1c2f60ab-c2c7-4d47-a492-bc95384b7e90" updatedVersion="8" minRefreshableVersion="3" subtotalHiddenItems="1" itemPrintTitles="1" createdVersion="5"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7FBC5A-AEEC-491A-92FE-203F1C17F73C}" name="PivotTable4" cacheId="1005" applyNumberFormats="0" applyBorderFormats="0" applyFontFormats="0" applyPatternFormats="0" applyAlignmentFormats="0" applyWidthHeightFormats="1" dataCaption="Values" tag="93b298ad-875e-49db-94e0-163b0705fc59" updatedVersion="8" minRefreshableVersion="3" subtotalHiddenItems="1" itemPrintTitles="1" createdVersion="5" indent="0" outline="1" outlineData="1" multipleFieldFilters="0" chartFormat="26">
  <location ref="N3:O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0">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B85BD6-6A64-4885-ADF2-81EECDBCB701}" name="PivotTable9" cacheId="1011" applyNumberFormats="0" applyBorderFormats="0" applyFontFormats="0" applyPatternFormats="0" applyAlignmentFormats="0" applyWidthHeightFormats="1" dataCaption="Values" tag="014eff29-dce2-4232-9da8-550846c060eb" updatedVersion="8" minRefreshableVersion="3" subtotalHiddenItems="1" itemPrintTitles="1" createdVersion="5" indent="0" outline="1" outlineData="1" multipleFieldFilters="0" chartFormat="9">
  <location ref="A33:B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4">
    <format dxfId="7">
      <pivotArea outline="0" collapsedLevelsAreSubtotals="1"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grandRow="1" outline="0" fieldPosition="0"/>
    </format>
  </formats>
  <chartFormats count="1">
    <chartFormat chart="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caption="Average of Patient Age"/>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44B7E1E-79D9-4B2C-9DA1-EFE93E03D5BA}" sourceName="[Calender_Table].[Date (Month)]">
  <pivotTables>
    <pivotTable tabId="2" name="PivotTable7"/>
    <pivotTable tabId="2" name="PivotTable1"/>
    <pivotTable tabId="2" name="PivotTable2"/>
    <pivotTable tabId="2" name="PivotTable3"/>
    <pivotTable tabId="2" name="PivotTable8"/>
    <pivotTable tabId="2" name="PivotTable4"/>
    <pivotTable tabId="2" name="PivotTable5"/>
    <pivotTable tabId="2" name="PivotTable9"/>
    <pivotTable tabId="2" name="PivotTable10"/>
    <pivotTable tabId="2" name="PivotTable11"/>
    <pivotTable tabId="2" name="PivotTable12"/>
    <pivotTable tabId="2" name="PivotTable13"/>
  </pivotTables>
  <data>
    <olap pivotCacheId="1737163102">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3DA9DB6-2000-43D4-8DBA-133330CB7F5E}" sourceName="[Calender_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7"/>
    <pivotTable tabId="2" name="PivotTable8"/>
    <pivotTable tabId="2" name="PivotTable9"/>
  </pivotTables>
  <data>
    <olap pivotCacheId="173716310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966696C-A028-4671-8C62-2294B6B99496}" cache="Slicer_Date__Month" caption="Date (Month)" showCaption="0" level="1" style="My style" rowHeight="216000"/>
  <slicer name="Date (Year)" xr10:uid="{22AB7030-AED5-4185-8272-5B9E35F0F9DA}" cache="Slicer_Date__Year" caption="Date (Year)" columnCount="2" showCaption="0" level="1" style="My styl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BCCA-0E1E-4B6C-87B8-CCEE3B34FB2D}">
  <dimension ref="A2:O47"/>
  <sheetViews>
    <sheetView showGridLines="0" topLeftCell="A16" workbookViewId="0">
      <selection activeCell="B24" sqref="B24"/>
    </sheetView>
  </sheetViews>
  <sheetFormatPr defaultRowHeight="14.5" x14ac:dyDescent="0.35"/>
  <cols>
    <col min="1" max="1" width="15.6328125" style="15" customWidth="1"/>
    <col min="2" max="2" width="12.54296875" customWidth="1"/>
    <col min="3" max="3" width="7.7265625" customWidth="1"/>
    <col min="4" max="4" width="16.54296875" customWidth="1"/>
    <col min="5" max="5" width="23.54296875" bestFit="1" customWidth="1"/>
    <col min="9" max="9" width="12.453125" bestFit="1" customWidth="1"/>
    <col min="10" max="10" width="15.453125" bestFit="1" customWidth="1"/>
    <col min="11" max="11" width="24" bestFit="1" customWidth="1"/>
    <col min="13" max="13" width="25.6328125" bestFit="1" customWidth="1"/>
    <col min="14" max="14" width="12.453125" bestFit="1" customWidth="1"/>
    <col min="15" max="15" width="24" bestFit="1" customWidth="1"/>
  </cols>
  <sheetData>
    <row r="2" spans="2:15" x14ac:dyDescent="0.35">
      <c r="B2" t="s">
        <v>3</v>
      </c>
      <c r="E2" t="s">
        <v>6</v>
      </c>
      <c r="J2" t="s">
        <v>7</v>
      </c>
      <c r="N2" t="s">
        <v>8</v>
      </c>
    </row>
    <row r="3" spans="2:15" x14ac:dyDescent="0.35">
      <c r="B3" t="s">
        <v>2</v>
      </c>
      <c r="E3" s="1" t="s">
        <v>0</v>
      </c>
      <c r="F3" t="s">
        <v>2</v>
      </c>
      <c r="J3" s="1" t="s">
        <v>0</v>
      </c>
      <c r="K3" t="s">
        <v>4</v>
      </c>
      <c r="N3" s="1" t="s">
        <v>0</v>
      </c>
      <c r="O3" t="s">
        <v>5</v>
      </c>
    </row>
    <row r="4" spans="2:15" x14ac:dyDescent="0.35">
      <c r="B4" s="3">
        <v>476</v>
      </c>
      <c r="E4" s="2" t="s">
        <v>43</v>
      </c>
      <c r="F4" s="3">
        <v>19</v>
      </c>
      <c r="J4" s="2" t="s">
        <v>43</v>
      </c>
      <c r="K4" s="4">
        <v>40.473684210526315</v>
      </c>
      <c r="N4" s="2" t="s">
        <v>43</v>
      </c>
      <c r="O4" s="4">
        <v>3.8</v>
      </c>
    </row>
    <row r="5" spans="2:15" x14ac:dyDescent="0.35">
      <c r="E5" s="2" t="s">
        <v>44</v>
      </c>
      <c r="F5" s="3">
        <v>13</v>
      </c>
      <c r="J5" s="2" t="s">
        <v>44</v>
      </c>
      <c r="K5" s="4">
        <v>29.46153846153846</v>
      </c>
      <c r="N5" s="2" t="s">
        <v>44</v>
      </c>
      <c r="O5" s="4">
        <v>7.75</v>
      </c>
    </row>
    <row r="6" spans="2:15" x14ac:dyDescent="0.35">
      <c r="E6" s="2" t="s">
        <v>45</v>
      </c>
      <c r="F6" s="3">
        <v>14</v>
      </c>
      <c r="J6" s="2" t="s">
        <v>45</v>
      </c>
      <c r="K6" s="4">
        <v>33.928571428571431</v>
      </c>
      <c r="N6" s="2" t="s">
        <v>45</v>
      </c>
      <c r="O6" s="4">
        <v>4.5999999999999996</v>
      </c>
    </row>
    <row r="7" spans="2:15" x14ac:dyDescent="0.35">
      <c r="B7" t="s">
        <v>4</v>
      </c>
      <c r="E7" s="2" t="s">
        <v>46</v>
      </c>
      <c r="F7" s="3">
        <v>9</v>
      </c>
      <c r="J7" s="2" t="s">
        <v>46</v>
      </c>
      <c r="K7" s="4">
        <v>32.222222222222221</v>
      </c>
      <c r="N7" s="2" t="s">
        <v>46</v>
      </c>
      <c r="O7" s="4">
        <v>6</v>
      </c>
    </row>
    <row r="8" spans="2:15" x14ac:dyDescent="0.35">
      <c r="B8" s="4">
        <v>34.87605042016807</v>
      </c>
      <c r="E8" s="2" t="s">
        <v>47</v>
      </c>
      <c r="F8" s="3">
        <v>19</v>
      </c>
      <c r="J8" s="2" t="s">
        <v>47</v>
      </c>
      <c r="K8" s="4">
        <v>35.736842105263158</v>
      </c>
      <c r="N8" s="2" t="s">
        <v>47</v>
      </c>
      <c r="O8" s="4">
        <v>5.5714285714285712</v>
      </c>
    </row>
    <row r="9" spans="2:15" x14ac:dyDescent="0.35">
      <c r="E9" s="2" t="s">
        <v>48</v>
      </c>
      <c r="F9" s="3">
        <v>14</v>
      </c>
      <c r="J9" s="2" t="s">
        <v>48</v>
      </c>
      <c r="K9" s="4">
        <v>30.142857142857142</v>
      </c>
      <c r="N9" s="2" t="s">
        <v>48</v>
      </c>
      <c r="O9" s="4">
        <v>2</v>
      </c>
    </row>
    <row r="10" spans="2:15" x14ac:dyDescent="0.35">
      <c r="E10" s="2" t="s">
        <v>49</v>
      </c>
      <c r="F10" s="3">
        <v>11</v>
      </c>
      <c r="J10" s="2" t="s">
        <v>49</v>
      </c>
      <c r="K10" s="4">
        <v>33.81818181818182</v>
      </c>
      <c r="N10" s="2" t="s">
        <v>49</v>
      </c>
      <c r="O10" s="4">
        <v>8</v>
      </c>
    </row>
    <row r="11" spans="2:15" x14ac:dyDescent="0.35">
      <c r="B11" t="s">
        <v>5</v>
      </c>
      <c r="E11" s="2" t="s">
        <v>50</v>
      </c>
      <c r="F11" s="3">
        <v>21</v>
      </c>
      <c r="J11" s="2" t="s">
        <v>50</v>
      </c>
      <c r="K11" s="4">
        <v>31.428571428571427</v>
      </c>
      <c r="N11" s="2" t="s">
        <v>50</v>
      </c>
      <c r="O11" s="4">
        <v>8</v>
      </c>
    </row>
    <row r="12" spans="2:15" x14ac:dyDescent="0.35">
      <c r="B12" s="4">
        <v>5.3034482758620687</v>
      </c>
      <c r="E12" s="2" t="s">
        <v>51</v>
      </c>
      <c r="F12" s="3">
        <v>12</v>
      </c>
      <c r="J12" s="2" t="s">
        <v>51</v>
      </c>
      <c r="K12" s="4">
        <v>36.416666666666664</v>
      </c>
      <c r="N12" s="2" t="s">
        <v>51</v>
      </c>
      <c r="O12" s="4">
        <v>5.25</v>
      </c>
    </row>
    <row r="13" spans="2:15" x14ac:dyDescent="0.35">
      <c r="E13" s="2" t="s">
        <v>52</v>
      </c>
      <c r="F13" s="3">
        <v>13</v>
      </c>
      <c r="J13" s="2" t="s">
        <v>52</v>
      </c>
      <c r="K13" s="4">
        <v>33.692307692307693</v>
      </c>
      <c r="N13" s="2" t="s">
        <v>52</v>
      </c>
      <c r="O13" s="4">
        <v>6</v>
      </c>
    </row>
    <row r="14" spans="2:15" x14ac:dyDescent="0.35">
      <c r="E14" s="2" t="s">
        <v>53</v>
      </c>
      <c r="F14" s="3">
        <v>17</v>
      </c>
      <c r="J14" s="2" t="s">
        <v>53</v>
      </c>
      <c r="K14" s="4">
        <v>39.117647058823529</v>
      </c>
      <c r="N14" s="2" t="s">
        <v>53</v>
      </c>
      <c r="O14" s="4">
        <v>6.5</v>
      </c>
    </row>
    <row r="15" spans="2:15" x14ac:dyDescent="0.35">
      <c r="B15" s="1" t="s">
        <v>0</v>
      </c>
      <c r="C15" t="s">
        <v>11</v>
      </c>
      <c r="D15" t="s">
        <v>12</v>
      </c>
      <c r="E15" s="2" t="s">
        <v>54</v>
      </c>
      <c r="F15" s="3">
        <v>30</v>
      </c>
      <c r="J15" s="2" t="s">
        <v>54</v>
      </c>
      <c r="K15" s="4">
        <v>36.93333333333333</v>
      </c>
      <c r="N15" s="2" t="s">
        <v>54</v>
      </c>
      <c r="O15" s="4">
        <v>5.75</v>
      </c>
    </row>
    <row r="16" spans="2:15" x14ac:dyDescent="0.35">
      <c r="B16" s="2" t="s">
        <v>9</v>
      </c>
      <c r="C16" s="8">
        <v>235</v>
      </c>
      <c r="D16" s="9">
        <v>0.49369747899159666</v>
      </c>
      <c r="E16" s="2" t="s">
        <v>55</v>
      </c>
      <c r="F16" s="3">
        <v>13</v>
      </c>
      <c r="J16" s="2" t="s">
        <v>55</v>
      </c>
      <c r="K16" s="4">
        <v>29.923076923076923</v>
      </c>
      <c r="N16" s="2" t="s">
        <v>55</v>
      </c>
      <c r="O16" s="4">
        <v>5.6</v>
      </c>
    </row>
    <row r="17" spans="1:15" x14ac:dyDescent="0.35">
      <c r="B17" s="2" t="s">
        <v>10</v>
      </c>
      <c r="C17" s="8">
        <v>241</v>
      </c>
      <c r="D17" s="9">
        <v>0.50630252100840334</v>
      </c>
      <c r="E17" s="2" t="s">
        <v>56</v>
      </c>
      <c r="F17" s="3">
        <v>21</v>
      </c>
      <c r="J17" s="2" t="s">
        <v>56</v>
      </c>
      <c r="K17" s="4">
        <v>31.666666666666668</v>
      </c>
      <c r="N17" s="2" t="s">
        <v>56</v>
      </c>
      <c r="O17" s="4">
        <v>6.5</v>
      </c>
    </row>
    <row r="18" spans="1:15" x14ac:dyDescent="0.35">
      <c r="B18" s="2" t="s">
        <v>1</v>
      </c>
      <c r="C18" s="8">
        <v>476</v>
      </c>
      <c r="D18" s="9">
        <v>1</v>
      </c>
      <c r="E18" s="2" t="s">
        <v>57</v>
      </c>
      <c r="F18" s="3">
        <v>12</v>
      </c>
      <c r="J18" s="2" t="s">
        <v>57</v>
      </c>
      <c r="K18" s="4">
        <v>40.25</v>
      </c>
      <c r="N18" s="2" t="s">
        <v>57</v>
      </c>
      <c r="O18" s="4">
        <v>5.666666666666667</v>
      </c>
    </row>
    <row r="19" spans="1:15" x14ac:dyDescent="0.35">
      <c r="E19" s="2" t="s">
        <v>58</v>
      </c>
      <c r="F19" s="3">
        <v>17</v>
      </c>
      <c r="J19" s="2" t="s">
        <v>58</v>
      </c>
      <c r="K19" s="4">
        <v>30</v>
      </c>
      <c r="N19" s="2" t="s">
        <v>58</v>
      </c>
      <c r="O19" s="4">
        <v>5.666666666666667</v>
      </c>
    </row>
    <row r="20" spans="1:15" x14ac:dyDescent="0.35">
      <c r="E20" s="2" t="s">
        <v>59</v>
      </c>
      <c r="F20" s="3">
        <v>16</v>
      </c>
      <c r="J20" s="2" t="s">
        <v>59</v>
      </c>
      <c r="K20" s="4">
        <v>35</v>
      </c>
      <c r="N20" s="2" t="s">
        <v>59</v>
      </c>
      <c r="O20" s="4">
        <v>5.8</v>
      </c>
    </row>
    <row r="21" spans="1:15" x14ac:dyDescent="0.35">
      <c r="E21" s="2" t="s">
        <v>60</v>
      </c>
      <c r="F21" s="3">
        <v>18</v>
      </c>
      <c r="J21" s="2" t="s">
        <v>60</v>
      </c>
      <c r="K21" s="4">
        <v>42.055555555555557</v>
      </c>
      <c r="N21" s="2" t="s">
        <v>60</v>
      </c>
      <c r="O21" s="4">
        <v>4.666666666666667</v>
      </c>
    </row>
    <row r="22" spans="1:15" x14ac:dyDescent="0.35">
      <c r="E22" s="2" t="s">
        <v>61</v>
      </c>
      <c r="F22" s="3">
        <v>18</v>
      </c>
      <c r="J22" s="2" t="s">
        <v>61</v>
      </c>
      <c r="K22" s="4">
        <v>33.277777777777779</v>
      </c>
      <c r="N22" s="2" t="s">
        <v>61</v>
      </c>
      <c r="O22" s="4">
        <v>4.833333333333333</v>
      </c>
    </row>
    <row r="23" spans="1:15" x14ac:dyDescent="0.35">
      <c r="E23" s="2" t="s">
        <v>62</v>
      </c>
      <c r="F23" s="3">
        <v>16</v>
      </c>
      <c r="J23" s="2" t="s">
        <v>62</v>
      </c>
      <c r="K23" s="4">
        <v>32.9375</v>
      </c>
      <c r="N23" s="2" t="s">
        <v>62</v>
      </c>
      <c r="O23" s="4">
        <v>2.3333333333333335</v>
      </c>
    </row>
    <row r="24" spans="1:15" x14ac:dyDescent="0.35">
      <c r="E24" s="2" t="s">
        <v>63</v>
      </c>
      <c r="F24" s="3">
        <v>15</v>
      </c>
      <c r="J24" s="2" t="s">
        <v>63</v>
      </c>
      <c r="K24" s="4">
        <v>33.266666666666666</v>
      </c>
      <c r="N24" s="2" t="s">
        <v>63</v>
      </c>
      <c r="O24" s="4">
        <v>4.5</v>
      </c>
    </row>
    <row r="25" spans="1:15" x14ac:dyDescent="0.35">
      <c r="E25" s="2" t="s">
        <v>64</v>
      </c>
      <c r="F25" s="3">
        <v>18</v>
      </c>
      <c r="J25" s="2" t="s">
        <v>64</v>
      </c>
      <c r="K25" s="4">
        <v>34.444444444444443</v>
      </c>
      <c r="N25" s="2" t="s">
        <v>64</v>
      </c>
      <c r="O25" s="4">
        <v>6.666666666666667</v>
      </c>
    </row>
    <row r="26" spans="1:15" x14ac:dyDescent="0.35">
      <c r="E26" s="2" t="s">
        <v>65</v>
      </c>
      <c r="F26" s="3">
        <v>12</v>
      </c>
      <c r="J26" s="2" t="s">
        <v>65</v>
      </c>
      <c r="K26" s="4">
        <v>43.416666666666664</v>
      </c>
      <c r="N26" s="2" t="s">
        <v>65</v>
      </c>
      <c r="O26" s="4">
        <v>7.5</v>
      </c>
    </row>
    <row r="27" spans="1:15" ht="15" customHeight="1" x14ac:dyDescent="0.35">
      <c r="E27" s="2" t="s">
        <v>66</v>
      </c>
      <c r="F27" s="3">
        <v>14</v>
      </c>
      <c r="J27" s="2" t="s">
        <v>66</v>
      </c>
      <c r="K27" s="4">
        <v>36.357142857142854</v>
      </c>
      <c r="N27" s="2" t="s">
        <v>66</v>
      </c>
      <c r="O27" s="4">
        <v>5.2857142857142856</v>
      </c>
    </row>
    <row r="28" spans="1:15" x14ac:dyDescent="0.35">
      <c r="A28" s="16" t="s">
        <v>13</v>
      </c>
      <c r="B28" s="13" t="s">
        <v>14</v>
      </c>
      <c r="C28" s="13" t="s">
        <v>15</v>
      </c>
      <c r="D28" s="12"/>
      <c r="E28" s="2" t="s">
        <v>67</v>
      </c>
      <c r="F28" s="3">
        <v>18</v>
      </c>
      <c r="J28" s="2" t="s">
        <v>67</v>
      </c>
      <c r="K28" s="4">
        <v>40.611111111111114</v>
      </c>
      <c r="N28" s="2" t="s">
        <v>67</v>
      </c>
      <c r="O28" s="4">
        <v>2.875</v>
      </c>
    </row>
    <row r="29" spans="1:15" x14ac:dyDescent="0.35">
      <c r="A29" s="17" t="str">
        <f>B17</f>
        <v>Not Admitted</v>
      </c>
      <c r="B29" s="10">
        <f t="shared" ref="B29:C29" si="0">C17</f>
        <v>241</v>
      </c>
      <c r="C29" s="11">
        <f t="shared" si="0"/>
        <v>0.50630252100840334</v>
      </c>
      <c r="E29" s="2" t="s">
        <v>68</v>
      </c>
      <c r="F29" s="3">
        <v>16</v>
      </c>
      <c r="J29" s="2" t="s">
        <v>68</v>
      </c>
      <c r="K29" s="4">
        <v>29.875</v>
      </c>
      <c r="N29" s="2" t="s">
        <v>68</v>
      </c>
      <c r="O29" s="4">
        <v>6.25</v>
      </c>
    </row>
    <row r="30" spans="1:15" x14ac:dyDescent="0.35">
      <c r="A30" s="17" t="str">
        <f>B16</f>
        <v>Admitted</v>
      </c>
      <c r="B30" s="10">
        <f t="shared" ref="B30:C30" si="1">C16</f>
        <v>235</v>
      </c>
      <c r="C30" s="11">
        <f t="shared" si="1"/>
        <v>0.49369747899159666</v>
      </c>
      <c r="E30" s="2" t="s">
        <v>69</v>
      </c>
      <c r="F30" s="3">
        <v>16</v>
      </c>
      <c r="J30" s="2" t="s">
        <v>69</v>
      </c>
      <c r="K30" s="4">
        <v>33.5</v>
      </c>
      <c r="N30" s="2" t="s">
        <v>69</v>
      </c>
      <c r="O30" s="4">
        <v>6.125</v>
      </c>
    </row>
    <row r="31" spans="1:15" x14ac:dyDescent="0.35">
      <c r="E31" s="2" t="s">
        <v>70</v>
      </c>
      <c r="F31" s="3">
        <v>16</v>
      </c>
      <c r="J31" s="2" t="s">
        <v>70</v>
      </c>
      <c r="K31" s="4">
        <v>32.5625</v>
      </c>
      <c r="N31" s="2" t="s">
        <v>70</v>
      </c>
      <c r="O31" s="4">
        <v>5.75</v>
      </c>
    </row>
    <row r="32" spans="1:15" x14ac:dyDescent="0.35">
      <c r="A32" s="15" t="s">
        <v>25</v>
      </c>
      <c r="E32" s="2" t="s">
        <v>71</v>
      </c>
      <c r="F32" s="3">
        <v>14</v>
      </c>
      <c r="J32" s="2" t="s">
        <v>71</v>
      </c>
      <c r="K32" s="4">
        <v>38.571428571428569</v>
      </c>
      <c r="N32" s="2" t="s">
        <v>71</v>
      </c>
      <c r="O32" s="4">
        <v>5.375</v>
      </c>
    </row>
    <row r="33" spans="1:15" x14ac:dyDescent="0.35">
      <c r="A33" s="18" t="s">
        <v>0</v>
      </c>
      <c r="B33" t="s">
        <v>24</v>
      </c>
      <c r="E33" s="2" t="s">
        <v>72</v>
      </c>
      <c r="F33" s="3">
        <v>14</v>
      </c>
      <c r="J33" s="2" t="s">
        <v>72</v>
      </c>
      <c r="K33" s="4">
        <v>32.714285714285715</v>
      </c>
      <c r="N33" s="2" t="s">
        <v>72</v>
      </c>
      <c r="O33" s="4">
        <v>5.6</v>
      </c>
    </row>
    <row r="34" spans="1:15" x14ac:dyDescent="0.35">
      <c r="A34" s="19" t="s">
        <v>16</v>
      </c>
      <c r="B34" s="8">
        <v>70</v>
      </c>
      <c r="E34" s="2" t="s">
        <v>1</v>
      </c>
      <c r="F34" s="3">
        <v>476</v>
      </c>
      <c r="J34" s="2" t="s">
        <v>1</v>
      </c>
      <c r="K34" s="4">
        <v>34.87605042016807</v>
      </c>
      <c r="N34" s="2" t="s">
        <v>1</v>
      </c>
      <c r="O34" s="4">
        <v>5.3034482758620687</v>
      </c>
    </row>
    <row r="35" spans="1:15" x14ac:dyDescent="0.35">
      <c r="A35" s="19" t="s">
        <v>17</v>
      </c>
      <c r="B35" s="8">
        <v>65</v>
      </c>
    </row>
    <row r="36" spans="1:15" x14ac:dyDescent="0.35">
      <c r="A36" s="19" t="s">
        <v>18</v>
      </c>
      <c r="B36" s="8">
        <v>64</v>
      </c>
    </row>
    <row r="37" spans="1:15" x14ac:dyDescent="0.35">
      <c r="A37" s="19" t="s">
        <v>19</v>
      </c>
      <c r="B37" s="8">
        <v>60</v>
      </c>
      <c r="E37" s="2" t="s">
        <v>29</v>
      </c>
      <c r="I37" t="s">
        <v>33</v>
      </c>
    </row>
    <row r="38" spans="1:15" x14ac:dyDescent="0.35">
      <c r="A38" s="19" t="s">
        <v>20</v>
      </c>
      <c r="B38" s="8">
        <v>41</v>
      </c>
      <c r="E38" s="1" t="s">
        <v>0</v>
      </c>
      <c r="F38" t="s">
        <v>26</v>
      </c>
      <c r="I38" s="1" t="s">
        <v>0</v>
      </c>
      <c r="J38" t="s">
        <v>32</v>
      </c>
      <c r="L38" s="1" t="s">
        <v>0</v>
      </c>
      <c r="M38" t="s">
        <v>42</v>
      </c>
    </row>
    <row r="39" spans="1:15" x14ac:dyDescent="0.35">
      <c r="A39" s="19" t="s">
        <v>21</v>
      </c>
      <c r="B39" s="8">
        <v>53</v>
      </c>
      <c r="E39" s="2" t="s">
        <v>27</v>
      </c>
      <c r="F39" s="8">
        <v>271</v>
      </c>
      <c r="I39" s="2" t="s">
        <v>30</v>
      </c>
      <c r="J39" s="8">
        <v>232</v>
      </c>
      <c r="L39" s="2" t="s">
        <v>41</v>
      </c>
      <c r="M39" s="8">
        <v>4</v>
      </c>
      <c r="O39" s="1" t="s">
        <v>0</v>
      </c>
    </row>
    <row r="40" spans="1:15" x14ac:dyDescent="0.35">
      <c r="A40" s="19" t="s">
        <v>22</v>
      </c>
      <c r="B40" s="8">
        <v>71</v>
      </c>
      <c r="E40" s="2" t="s">
        <v>28</v>
      </c>
      <c r="F40" s="8">
        <v>205</v>
      </c>
      <c r="I40" s="2" t="s">
        <v>31</v>
      </c>
      <c r="J40" s="8">
        <v>244</v>
      </c>
      <c r="L40" s="2" t="s">
        <v>37</v>
      </c>
      <c r="M40" s="8">
        <v>11</v>
      </c>
      <c r="O40" s="2" t="s">
        <v>73</v>
      </c>
    </row>
    <row r="41" spans="1:15" x14ac:dyDescent="0.35">
      <c r="A41" s="19" t="s">
        <v>23</v>
      </c>
      <c r="B41" s="8">
        <v>52</v>
      </c>
      <c r="E41" s="2" t="s">
        <v>1</v>
      </c>
      <c r="F41" s="8">
        <v>476</v>
      </c>
      <c r="I41" s="2" t="s">
        <v>1</v>
      </c>
      <c r="J41" s="8">
        <v>476</v>
      </c>
      <c r="L41" s="2" t="s">
        <v>40</v>
      </c>
      <c r="M41" s="8">
        <v>11</v>
      </c>
      <c r="O41" s="14" t="s">
        <v>74</v>
      </c>
    </row>
    <row r="42" spans="1:15" x14ac:dyDescent="0.35">
      <c r="A42" s="19" t="s">
        <v>1</v>
      </c>
      <c r="B42" s="8">
        <v>476</v>
      </c>
      <c r="L42" s="2" t="s">
        <v>35</v>
      </c>
      <c r="M42" s="8">
        <v>12</v>
      </c>
      <c r="O42" s="2" t="s">
        <v>1</v>
      </c>
    </row>
    <row r="43" spans="1:15" x14ac:dyDescent="0.35">
      <c r="L43" s="2" t="s">
        <v>34</v>
      </c>
      <c r="M43" s="8">
        <v>18</v>
      </c>
    </row>
    <row r="44" spans="1:15" x14ac:dyDescent="0.35">
      <c r="L44" s="2" t="s">
        <v>39</v>
      </c>
      <c r="M44" s="8">
        <v>45</v>
      </c>
    </row>
    <row r="45" spans="1:15" x14ac:dyDescent="0.35">
      <c r="L45" s="2" t="s">
        <v>36</v>
      </c>
      <c r="M45" s="8">
        <v>114</v>
      </c>
    </row>
    <row r="46" spans="1:15" x14ac:dyDescent="0.35">
      <c r="L46" s="2" t="s">
        <v>38</v>
      </c>
      <c r="M46" s="8">
        <v>261</v>
      </c>
    </row>
    <row r="47" spans="1:15" x14ac:dyDescent="0.35">
      <c r="L47" s="2" t="s">
        <v>1</v>
      </c>
      <c r="M47" s="8">
        <v>476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C21E-298C-4329-8473-BE9234276476}">
  <dimension ref="D5:Q8"/>
  <sheetViews>
    <sheetView showGridLines="0" tabSelected="1" zoomScaleNormal="100" workbookViewId="0">
      <selection activeCell="O6" sqref="O6"/>
    </sheetView>
  </sheetViews>
  <sheetFormatPr defaultRowHeight="14.5" x14ac:dyDescent="0.35"/>
  <cols>
    <col min="1" max="4" width="8.7265625" style="21"/>
    <col min="5" max="5" width="8.7265625" style="21" customWidth="1"/>
    <col min="6" max="16384" width="8.7265625" style="21"/>
  </cols>
  <sheetData>
    <row r="5" spans="4:17" x14ac:dyDescent="0.35">
      <c r="D5" s="20"/>
    </row>
    <row r="8" spans="4:17" x14ac:dyDescent="0.35">
      <c r="Q8"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BD72-A9F3-48B0-B59E-86A9022885E3}">
  <dimension ref="A1"/>
  <sheetViews>
    <sheetView workbookViewId="0"/>
  </sheetViews>
  <sheetFormatPr defaultRowHeight="14.5" x14ac:dyDescent="0.35"/>
  <cols>
    <col min="1" max="16384" width="8.7265625" style="6"/>
  </cols>
  <sheetData>
    <row r="1" spans="1:1" x14ac:dyDescent="0.35">
      <c r="A1"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220D-2075-4FEF-9217-3600916A2B19}">
  <dimension ref="A1"/>
  <sheetViews>
    <sheetView showGridLines="0" workbookViewId="0"/>
  </sheetViews>
  <sheetFormatPr defaultRowHeight="14.5" x14ac:dyDescent="0.35"/>
  <cols>
    <col min="1" max="16384" width="8.726562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4EF7-23B9-4C2B-999A-D781FE34BE8F}">
  <dimension ref="A1"/>
  <sheetViews>
    <sheetView workbookViewId="0"/>
  </sheetViews>
  <sheetFormatPr defaultRowHeight="14.5" x14ac:dyDescent="0.35"/>
  <cols>
    <col min="1" max="16384" width="8.7265625" style="6"/>
  </cols>
  <sheetData>
    <row r="1" spans="1:1" x14ac:dyDescent="0.35">
      <c r="A1"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4E3F485-34D9-4842-9618-6A2DB42680BF}">
  <ds:schemaRefs/>
</ds:datastoreItem>
</file>

<file path=customXml/itemProps2.xml><?xml version="1.0" encoding="utf-8"?>
<ds:datastoreItem xmlns:ds="http://schemas.openxmlformats.org/officeDocument/2006/customXml" ds:itemID="{65DEC7DF-16F9-4DE0-A755-AD3E4F86ADA0}">
  <ds:schemaRefs/>
</ds:datastoreItem>
</file>

<file path=customXml/itemProps3.xml><?xml version="1.0" encoding="utf-8"?>
<ds:datastoreItem xmlns:ds="http://schemas.openxmlformats.org/officeDocument/2006/customXml" ds:itemID="{0C17A654-CB95-499C-81D3-B4DB12A833F8}">
  <ds:schemaRefs/>
</ds:datastoreItem>
</file>

<file path=customXml/itemProps4.xml><?xml version="1.0" encoding="utf-8"?>
<ds:datastoreItem xmlns:ds="http://schemas.openxmlformats.org/officeDocument/2006/customXml" ds:itemID="{3C02D452-9607-49A2-89C8-20DA8A587E1E}">
  <ds:schemaRefs/>
</ds:datastoreItem>
</file>

<file path=customXml/itemProps5.xml><?xml version="1.0" encoding="utf-8"?>
<ds:datastoreItem xmlns:ds="http://schemas.openxmlformats.org/officeDocument/2006/customXml" ds:itemID="{A25A0433-CA24-4ABD-A87F-B055EF890DE7}">
  <ds:schemaRefs/>
</ds:datastoreItem>
</file>

<file path=customXml/itemProps6.xml><?xml version="1.0" encoding="utf-8"?>
<ds:datastoreItem xmlns:ds="http://schemas.openxmlformats.org/officeDocument/2006/customXml" ds:itemID="{649A7505-A6E6-41B7-9C74-1FD33019FDCB}">
  <ds:schemaRefs/>
</ds:datastoreItem>
</file>

<file path=customXml/itemProps7.xml><?xml version="1.0" encoding="utf-8"?>
<ds:datastoreItem xmlns:ds="http://schemas.openxmlformats.org/officeDocument/2006/customXml" ds:itemID="{8A6C9DAA-63EB-4BDE-88EE-13E2B40A2FB1}">
  <ds:schemaRefs/>
</ds:datastoreItem>
</file>

<file path=customXml/itemProps8.xml><?xml version="1.0" encoding="utf-8"?>
<ds:datastoreItem xmlns:ds="http://schemas.openxmlformats.org/officeDocument/2006/customXml" ds:itemID="{38761F39-243A-429B-93B4-FE4C77AE203E}">
  <ds:schemaRefs/>
</ds:datastoreItem>
</file>

<file path=customXml/itemProps9.xml><?xml version="1.0" encoding="utf-8"?>
<ds:datastoreItem xmlns:ds="http://schemas.openxmlformats.org/officeDocument/2006/customXml" ds:itemID="{34D70298-8FDC-4963-BB48-91A0D89C3C9C}">
  <ds:schemaRefs/>
</ds:datastoreItem>
</file>

<file path=customXml/itemProps10.xml><?xml version="1.0" encoding="utf-8"?>
<ds:datastoreItem xmlns:ds="http://schemas.openxmlformats.org/officeDocument/2006/customXml" ds:itemID="{766145AD-B6D9-4847-9298-3FC13B5E12A0}">
  <ds:schemaRefs/>
</ds:datastoreItem>
</file>

<file path=customXml/itemProps11.xml><?xml version="1.0" encoding="utf-8"?>
<ds:datastoreItem xmlns:ds="http://schemas.openxmlformats.org/officeDocument/2006/customXml" ds:itemID="{22FB224E-6AF4-4829-B99D-A3CB29C3D3EC}">
  <ds:schemaRefs/>
</ds:datastoreItem>
</file>

<file path=customXml/itemProps12.xml><?xml version="1.0" encoding="utf-8"?>
<ds:datastoreItem xmlns:ds="http://schemas.openxmlformats.org/officeDocument/2006/customXml" ds:itemID="{6260BB4D-1341-43D8-BB92-1437386AC2C9}">
  <ds:schemaRefs/>
</ds:datastoreItem>
</file>

<file path=customXml/itemProps13.xml><?xml version="1.0" encoding="utf-8"?>
<ds:datastoreItem xmlns:ds="http://schemas.openxmlformats.org/officeDocument/2006/customXml" ds:itemID="{9B4764C1-5385-4D65-9217-C9041A679AF3}">
  <ds:schemaRefs/>
</ds:datastoreItem>
</file>

<file path=customXml/itemProps14.xml><?xml version="1.0" encoding="utf-8"?>
<ds:datastoreItem xmlns:ds="http://schemas.openxmlformats.org/officeDocument/2006/customXml" ds:itemID="{C918F593-B237-4DBB-B4B4-808D99858B5E}">
  <ds:schemaRefs/>
</ds:datastoreItem>
</file>

<file path=customXml/itemProps15.xml><?xml version="1.0" encoding="utf-8"?>
<ds:datastoreItem xmlns:ds="http://schemas.openxmlformats.org/officeDocument/2006/customXml" ds:itemID="{E90B9C39-F4B2-435A-ADBC-C4D63AF6F80C}">
  <ds:schemaRefs>
    <ds:schemaRef ds:uri="http://schemas.microsoft.com/DataMashup"/>
  </ds:schemaRefs>
</ds:datastoreItem>
</file>

<file path=customXml/itemProps16.xml><?xml version="1.0" encoding="utf-8"?>
<ds:datastoreItem xmlns:ds="http://schemas.openxmlformats.org/officeDocument/2006/customXml" ds:itemID="{B138A67B-7A5F-43E9-9C0F-BAFC2003CB52}">
  <ds:schemaRefs/>
</ds:datastoreItem>
</file>

<file path=customXml/itemProps17.xml><?xml version="1.0" encoding="utf-8"?>
<ds:datastoreItem xmlns:ds="http://schemas.openxmlformats.org/officeDocument/2006/customXml" ds:itemID="{D948F9C6-6D71-401B-9B78-1B59D9B645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vt:lpstr>
      <vt:lpstr>Daily visits</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Anosha syed</dc:creator>
  <cp:lastModifiedBy>Anosha syed</cp:lastModifiedBy>
  <dcterms:created xsi:type="dcterms:W3CDTF">2026-10-23T10:30:57Z</dcterms:created>
  <dcterms:modified xsi:type="dcterms:W3CDTF">2026-10-24T11:47:58Z</dcterms:modified>
</cp:coreProperties>
</file>